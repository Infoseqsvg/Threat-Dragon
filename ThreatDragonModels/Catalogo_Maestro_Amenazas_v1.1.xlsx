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atálogo" sheetId="2" state="visible" r:id="rId4"/>
    <sheet name="Fuentes_Tendencia" sheetId="3" state="visible" r:id="rId5"/>
    <sheet name="Aplicación" sheetId="4" state="visible" r:id="rId6"/>
    <sheet name="Ref_STRIDE" sheetId="5" state="visible" r:id="rId7"/>
    <sheet name="Ref_Fuentes_D-2" sheetId="6" state="visible" r:id="rId8"/>
    <sheet name="Ref_Controles_ISO" sheetId="7" state="visible" r:id="rId9"/>
    <sheet name="Resumen" sheetId="8" state="visible" r:id="rId10"/>
    <sheet name="Bitácora" sheetId="9" state="visible" r:id="rId11"/>
  </sheets>
  <definedNames>
    <definedName function="false" hidden="true" localSheetId="3" name="_xlnm._FilterDatabase" vbProcedure="false">Aplicación!$A$4:$N$304</definedName>
    <definedName function="false" hidden="true" localSheetId="1" name="_xlnm._FilterDatabase" vbProcedure="false">Catálogo!$A$1:$S$40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<sst xmlns="http://schemas.openxmlformats.org/spreadsheetml/2006/main" count="1104" uniqueCount="647">
  <si>
    <t xml:space="preserve">Catálogo Maestro de Amenazas (CMA) – v1.1</t>
  </si>
  <si>
    <t xml:space="preserve">Estándar de modelado de amenazas por proceso. Insumo para el análisis de riesgos. Reutilizable: el catálogo no contiene nombres de clientes.</t>
  </si>
  <si>
    <t xml:space="preserve">Propósito</t>
  </si>
  <si>
    <t xml:space="preserve">Identificar de forma estandarizada las amenazas de cada proceso mediante modelado de amenazas, para usarlas como insumo del análisis de riesgos. El modelado no evalúa probabilidad ni impacto; eso corresponde a la metodología de riesgos aprobada por la organización.</t>
  </si>
  <si>
    <t xml:space="preserve">Versión / fecha</t>
  </si>
  <si>
    <t xml:space="preserve">1.1 – 2026-10-07</t>
  </si>
  <si>
    <t xml:space="preserve">REFERENCIAL (FIJO PARA TODOS LOS PROCESOS)</t>
  </si>
  <si>
    <t xml:space="preserve">Clasificación</t>
  </si>
  <si>
    <t xml:space="preserve">STRIDE (Microsoft; Shostack, A. Threat Modeling: Designing for Security, Wiley, 2014). Clasifica la propiedad de seguridad afectada; no es fuente de amenazas.</t>
  </si>
  <si>
    <t xml:space="preserve">Origen de cada amenaza</t>
  </si>
  <si>
    <t xml:space="preserve">NIST SP 800-30 Rev.1 (2012): Tabla D-2 (fuentes de amenaza), Tabla E-2 (eventos adversariales), Tabla E-3 (eventos no adversariales). Si no existe un evento equivalente, se define uno conforme a la plantilla de la Tabla E-5 ('Organization-defined') con justificación documentada.</t>
  </si>
  <si>
    <t xml:space="preserve">Tendencia del sector</t>
  </si>
  <si>
    <t xml:space="preserve">Hoja 'Fuentes_Tendencia' (FT-01 a FT-04): Verizon DBIR 2025 y 2026, ENISA Threat Landscape 2025 y la alerta conjunta CISA AA22-131A sobre proveedores de servicios administrados. Cada amenaza tiene un nivel fijo (Alta, Media, Baja) asignado en el catálogo.</t>
  </si>
  <si>
    <t xml:space="preserve">Tratamiento de referencia</t>
  </si>
  <si>
    <t xml:space="preserve">ISO/IEC 27001:2022, Anexo A. Se usa como referencia de mitigación y para enlazar con la SoA y el Plan de Tratamiento de Riesgos.</t>
  </si>
  <si>
    <t xml:space="preserve">Complementaria (opcional)</t>
  </si>
  <si>
    <t xml:space="preserve">MITRE ATT&amp;CK, solo para amenazas técnicas. Nunca sustituye la fuente NIST.</t>
  </si>
  <si>
    <t xml:space="preserve">ESTÁNDAR DE 25 AMENAZAS POR DIAGRAMA</t>
  </si>
  <si>
    <t xml:space="preserve">Regla</t>
  </si>
  <si>
    <t xml:space="preserve">Cada diagrama (proceso) registra como máximo 25 amenazas. Es un máximo, no una meta: un proceso pequeño puede tener menos.</t>
  </si>
  <si>
    <t xml:space="preserve">Qué cuenta como amenaza</t>
  </si>
  <si>
    <t xml:space="preserve">Cada fila de la hoja 'Aplicación' (una amenaza del catálogo aplicada a un elemento del DFD). Si la misma AMZ aplica a dos elementos, cuenta dos veces.</t>
  </si>
  <si>
    <t xml:space="preserve">Puntaje</t>
  </si>
  <si>
    <t xml:space="preserve">(Nivel de tendencia: Alta = 3, Media = 2, Baja = 1) × 10 + criterios del diagrama cumplidos (0 a 3): cruza frontera de confianza, efecto multicliente, sin control en el procedimiento.</t>
  </si>
  <si>
    <t xml:space="preserve">Selección</t>
  </si>
  <si>
    <t xml:space="preserve">La hoja 'Aplicación' calcula el lugar de cada amenaza dentro de su diagrama y marca automáticamente 'Priorizada = Sí' a las 25 de mayor puntaje. En caso de empate en el lugar 25, decide el analista y lo documenta en la justificación.</t>
  </si>
  <si>
    <t xml:space="preserve">No priorizadas</t>
  </si>
  <si>
    <t xml:space="preserve">No se eliminan: permanecen en la hoja 'Aplicación' con 'Priorizada = No' y pueden considerarse en el análisis de riesgos si el dueño del proceso lo solicita.</t>
  </si>
  <si>
    <t xml:space="preserve">CÓMO USARLO EN UN PROCESO</t>
  </si>
  <si>
    <t xml:space="preserve">Paso 1</t>
  </si>
  <si>
    <t xml:space="preserve">Dibujar el DFD del proceso en Threat Dragon.</t>
  </si>
  <si>
    <t xml:space="preserve">Paso 2</t>
  </si>
  <si>
    <t xml:space="preserve">Recorrer cada elemento con STRIDE según la matriz de 'Ref_STRIDE'.</t>
  </si>
  <si>
    <t xml:space="preserve">Paso 3</t>
  </si>
  <si>
    <t xml:space="preserve">Seleccionar del 'Catálogo' la amenaza (ID AMZ) que corresponde; registrarla en 'Aplicación' y marcar los 3 criterios del diagrama.</t>
  </si>
  <si>
    <t xml:space="preserve">Paso 4</t>
  </si>
  <si>
    <t xml:space="preserve">Capturar en Threat Dragon solo las amenazas con 'Priorizada = Sí', con el formato estándar.</t>
  </si>
  <si>
    <t xml:space="preserve">Paso 5</t>
  </si>
  <si>
    <t xml:space="preserve">Entregar la hoja 'Aplicación' como insumo al análisis de riesgos (las amenazas priorizadas se convierten en escenarios de riesgo).</t>
  </si>
  <si>
    <t xml:space="preserve">FORMATO EN THREAT DRAGON</t>
  </si>
  <si>
    <t xml:space="preserve">Título ('Title')</t>
  </si>
  <si>
    <t xml:space="preserve">AMZ-xx · &lt;Título del catálogo&gt;</t>
  </si>
  <si>
    <t xml:space="preserve">Tipo ('Type')</t>
  </si>
  <si>
    <t xml:space="preserve">Categoría STRIDE principal.</t>
  </si>
  <si>
    <t xml:space="preserve">Descripción ('Description')</t>
  </si>
  <si>
    <t xml:space="preserve">Escenario: … | Evento NIST SP 800-30 (Tabla E-x): &lt;nombre exacto&gt; | Fuente de amenaza (Tabla D-2): &lt;tipo – subtipo&gt; | Tendencia del sector: &lt;nivel&gt; (FT-xx) | Actividad del procedimiento: … | Justificación: …</t>
  </si>
  <si>
    <t xml:space="preserve">Mitigación ('Mitigation')</t>
  </si>
  <si>
    <t xml:space="preserve">ISO/IEC 27001:2022 A.x.x – &lt;acción concreta&gt;</t>
  </si>
  <si>
    <t xml:space="preserve">Severidad ('Severity')</t>
  </si>
  <si>
    <t xml:space="preserve">Se deja en 'TBD' o en el nivel derivado del puntaje solo como referencia visual; la severidad real la determina el análisis de riesgos.</t>
  </si>
  <si>
    <t xml:space="preserve">REGLAS DE GOBIERNO</t>
  </si>
  <si>
    <t xml:space="preserve">R1 – Responsable</t>
  </si>
  <si>
    <t xml:space="preserve">Un responsable designado aprueba altas, bajas y cambios del catálogo y de las fuentes de tendencia.</t>
  </si>
  <si>
    <t xml:space="preserve">R2 – Alta antes de uso</t>
  </si>
  <si>
    <t xml:space="preserve">Ninguna amenaza entra a un diagrama si no existe en el catálogo.</t>
  </si>
  <si>
    <t xml:space="preserve">R3 – IDs permanentes</t>
  </si>
  <si>
    <t xml:space="preserve">Los IDs no se reutilizan; una amenaza dada de baja conserva su ID con estado 'Baja'.</t>
  </si>
  <si>
    <t xml:space="preserve">R4 – Actualización de tendencias</t>
  </si>
  <si>
    <t xml:space="preserve">Las fuentes de tendencia se actualizan una vez al año (al publicarse nuevas ediciones de DBIR y ENISA) y los niveles se revisan en ese momento.</t>
  </si>
  <si>
    <t xml:space="preserve">R5 – Versionado</t>
  </si>
  <si>
    <t xml:space="preserve">Todo cambio incrementa la versión y se registra en 'Bitácora'.</t>
  </si>
  <si>
    <t xml:space="preserve">R6 – Reutilización</t>
  </si>
  <si>
    <t xml:space="preserve">Los datos de clientes solo van en 'Aplicación' y en los diagramas, nunca en el 'Catálogo'.</t>
  </si>
  <si>
    <t xml:space="preserve">LEYENDA</t>
  </si>
  <si>
    <t xml:space="preserve">Celdas amarillas</t>
  </si>
  <si>
    <t xml:space="preserve">Campos que llena el analista.</t>
  </si>
  <si>
    <t xml:space="preserve">Celdas sin color en 'Aplicación'</t>
  </si>
  <si>
    <t xml:space="preserve">Fórmulas automáticas; no editar.</t>
  </si>
  <si>
    <t xml:space="preserve">ID</t>
  </si>
  <si>
    <t xml:space="preserve">Título</t>
  </si>
  <si>
    <t xml:space="preserve">STRIDE principal</t>
  </si>
  <si>
    <t xml:space="preserve">STRIDE secundaria</t>
  </si>
  <si>
    <t xml:space="preserve">Tabla NIST</t>
  </si>
  <si>
    <t xml:space="preserve">Evento NIST SP 800-30 (nombre exacto)</t>
  </si>
  <si>
    <t xml:space="preserve">Traducción del evento</t>
  </si>
  <si>
    <t xml:space="preserve">Tipo de fuente (Tabla D-2)</t>
  </si>
  <si>
    <t xml:space="preserve">Fuente específica (Tabla D-2)</t>
  </si>
  <si>
    <t xml:space="preserve">Descripción genérica</t>
  </si>
  <si>
    <t xml:space="preserve">Elementos DFD típicos</t>
  </si>
  <si>
    <t xml:space="preserve">CID afectada</t>
  </si>
  <si>
    <t xml:space="preserve">Controles ISO/IEC 27001:2022 (Anexo A)</t>
  </si>
  <si>
    <t xml:space="preserve">MITRE ATT&amp;CK (opcional)</t>
  </si>
  <si>
    <t xml:space="preserve">Nota de adaptación / justificación (E-5)</t>
  </si>
  <si>
    <t xml:space="preserve">Fuentes de tendencia</t>
  </si>
  <si>
    <t xml:space="preserve">Estado</t>
  </si>
  <si>
    <t xml:space="preserve">Versión</t>
  </si>
  <si>
    <t xml:space="preserve">AMZ-01</t>
  </si>
  <si>
    <t xml:space="preserve">Suplantación de un solicitante autorizado mediante ingeniería social</t>
  </si>
  <si>
    <t xml:space="preserve">Spoofing</t>
  </si>
  <si>
    <t xml:space="preserve">E-2</t>
  </si>
  <si>
    <t xml:space="preserve">Conduct outsider-based social engineering to obtain information.</t>
  </si>
  <si>
    <t xml:space="preserve">Realizar ingeniería social desde el exterior para obtener información</t>
  </si>
  <si>
    <t xml:space="preserve">Adversarial</t>
  </si>
  <si>
    <t xml:space="preserve">Outsider (externo)</t>
  </si>
  <si>
    <t xml:space="preserve">Un tercero se hace pasar por una persona autorizada (por teléfono, correo u otro canal) para obtener información o lograr que se ejecute una acción en su nombre.</t>
  </si>
  <si>
    <t xml:space="preserve">Actor; flujo de entrada</t>
  </si>
  <si>
    <t xml:space="preserve">C, I</t>
  </si>
  <si>
    <t xml:space="preserve">A.5.16; A.5.17; A.8.5; A.6.3</t>
  </si>
  <si>
    <t xml:space="preserve">T1598 Phishing for Information</t>
  </si>
  <si>
    <t xml:space="preserve">Adaptación permitida por el Apéndice E: el evento se extiende a la obtención de acciones (por ejemplo, cambios) además de información.</t>
  </si>
  <si>
    <t xml:space="preserve">Alta</t>
  </si>
  <si>
    <t xml:space="preserve">FT-01; FT-03</t>
  </si>
  <si>
    <t xml:space="preserve">Vigente</t>
  </si>
  <si>
    <t xml:space="preserve">1.0</t>
  </si>
  <si>
    <t xml:space="preserve">AMZ-02</t>
  </si>
  <si>
    <t xml:space="preserve">Suplantación de remitente o dominio en correo electrónico</t>
  </si>
  <si>
    <t xml:space="preserve">Information disclosure</t>
  </si>
  <si>
    <t xml:space="preserve">Craft phishing attacks.</t>
  </si>
  <si>
    <t xml:space="preserve">Elaborar ataques de phishing</t>
  </si>
  <si>
    <t xml:space="preserve">Un atacante falsifica comunicaciones que aparentan provenir de una fuente legítima para obtener credenciales, información o inducir acciones.</t>
  </si>
  <si>
    <t xml:space="preserve">Actor; flujo de correo; proceso de recepción</t>
  </si>
  <si>
    <t xml:space="preserve">A.5.14; A.8.7; A.8.23; A.6.3</t>
  </si>
  <si>
    <t xml:space="preserve">T1566 Phishing</t>
  </si>
  <si>
    <t xml:space="preserve">FT-02; FT-03</t>
  </si>
  <si>
    <t xml:space="preserve">AMZ-03</t>
  </si>
  <si>
    <t xml:space="preserve">Adivinación o fuerza bruta de contraseñas</t>
  </si>
  <si>
    <t xml:space="preserve">Conduct brute force login attempts/password guessing attacks.</t>
  </si>
  <si>
    <t xml:space="preserve">Realizar intentos de inicio de sesión por fuerza bruta o adivinación de contraseñas</t>
  </si>
  <si>
    <t xml:space="preserve">Intentos sistemáticos de adivinar contraseñas para acceder a sistemas, portales o consolas.</t>
  </si>
  <si>
    <t xml:space="preserve">Proceso con autenticación; consola administrativa</t>
  </si>
  <si>
    <t xml:space="preserve">A.5.17; A.8.5</t>
  </si>
  <si>
    <t xml:space="preserve">T1110 Brute Force</t>
  </si>
  <si>
    <t xml:space="preserve">Media</t>
  </si>
  <si>
    <t xml:space="preserve">FT-01; FT-02</t>
  </si>
  <si>
    <t xml:space="preserve">AMZ-04</t>
  </si>
  <si>
    <t xml:space="preserve">Uso indebido de cuentas compartidas o genéricas</t>
  </si>
  <si>
    <t xml:space="preserve">Repudiation</t>
  </si>
  <si>
    <t xml:space="preserve">E-5 (org.)</t>
  </si>
  <si>
    <t xml:space="preserve">Organization-defined: Misuse of shared or generic accounts.</t>
  </si>
  <si>
    <t xml:space="preserve">Insider (interno)</t>
  </si>
  <si>
    <t xml:space="preserve">Una persona usa una cuenta compartida o genérica para ejecutar acciones que no pueden atribuirse a un individuo.</t>
  </si>
  <si>
    <t xml:space="preserve">Proceso; actor interno o de proveedor</t>
  </si>
  <si>
    <t xml:space="preserve">I</t>
  </si>
  <si>
    <t xml:space="preserve">A.5.16; A.5.18; A.8.2; A.8.5; A.8.15</t>
  </si>
  <si>
    <t xml:space="preserve">T1078 Valid Accounts</t>
  </si>
  <si>
    <t xml:space="preserve">Las Tablas E-2/E-3 no contienen un evento equivalente; se define conforme a la Tabla E-5 por su recurrencia en servicios administrados.</t>
  </si>
  <si>
    <t xml:space="preserve">FT-02</t>
  </si>
  <si>
    <t xml:space="preserve">AMZ-05</t>
  </si>
  <si>
    <t xml:space="preserve">Compromiso de un proveedor con acceso de confianza</t>
  </si>
  <si>
    <t xml:space="preserve">Elevation of privilege</t>
  </si>
  <si>
    <t xml:space="preserve">Organization-defined: Compromise of a third party with trusted access.</t>
  </si>
  <si>
    <t xml:space="preserve">Compromiso de un tercero con acceso de confianza</t>
  </si>
  <si>
    <t xml:space="preserve">Supplier (proveedor)</t>
  </si>
  <si>
    <t xml:space="preserve">Un atacante compromete a un proveedor o tercero con acceso legítimo a los sistemas y lo usa como vía de entrada.</t>
  </si>
  <si>
    <t xml:space="preserve">Actor proveedor; flujo de acceso remoto</t>
  </si>
  <si>
    <t xml:space="preserve">C, I, D</t>
  </si>
  <si>
    <t xml:space="preserve">A.5.19; A.5.20; A.5.21; A.5.22; A.8.2; A.8.5</t>
  </si>
  <si>
    <t xml:space="preserve">T1199 Trusted Relationship</t>
  </si>
  <si>
    <t xml:space="preserve">La Tabla E-2 aborda la cadena de suministro de hardware, software y firmware; el compromiso de proveedores de servicios con acceso se define conforme a la Tabla E-5, con fuente D-2 'Supplier'.</t>
  </si>
  <si>
    <t xml:space="preserve">FT-02; FT-03; FT-04</t>
  </si>
  <si>
    <t xml:space="preserve">AMZ-06</t>
  </si>
  <si>
    <t xml:space="preserve">Secuestro de una sesión legítima establecida</t>
  </si>
  <si>
    <t xml:space="preserve">Conduct externally-based session hijacking.</t>
  </si>
  <si>
    <t xml:space="preserve">Realizar secuestro de sesión desde el exterior</t>
  </si>
  <si>
    <t xml:space="preserve">Toma de control de una sesión legítima ya establecida, por ejemplo una sesión de administración remota.</t>
  </si>
  <si>
    <t xml:space="preserve">Flujo de acceso remoto; proceso web</t>
  </si>
  <si>
    <t xml:space="preserve">A.8.5; A.8.20; A.8.24</t>
  </si>
  <si>
    <t xml:space="preserve">T1563 Remote Service Session Hijacking</t>
  </si>
  <si>
    <t xml:space="preserve">FT-03</t>
  </si>
  <si>
    <t xml:space="preserve">AMZ-07</t>
  </si>
  <si>
    <t xml:space="preserve">Intermediario en comunicaciones (man in the middle)</t>
  </si>
  <si>
    <t xml:space="preserve">Tampering</t>
  </si>
  <si>
    <t xml:space="preserve">Conduct externally-based network traffic modification (man in the middle) attacks.</t>
  </si>
  <si>
    <t xml:space="preserve">Realizar ataques de modificación de tráfico de red desde el exterior (intermediario)</t>
  </si>
  <si>
    <t xml:space="preserve">El atacante intercepta y retransmite comunicaciones entre dos partes para leerlas o alterarlas sin que lo noten.</t>
  </si>
  <si>
    <t xml:space="preserve">Flujo por red pública</t>
  </si>
  <si>
    <t xml:space="preserve">A.8.20; A.8.21; A.8.24; A.5.14</t>
  </si>
  <si>
    <t xml:space="preserve">T1557 Adversary-in-the-Middle</t>
  </si>
  <si>
    <t xml:space="preserve">Baja</t>
  </si>
  <si>
    <t xml:space="preserve">Sin mención relevante en fuentes del sector</t>
  </si>
  <si>
    <t xml:space="preserve">AMZ-08</t>
  </si>
  <si>
    <t xml:space="preserve">Intercepción de comunicaciones sin cifrado o con cifrado débil</t>
  </si>
  <si>
    <t xml:space="preserve">Conduct communications interception attacks.</t>
  </si>
  <si>
    <t xml:space="preserve">Realizar ataques de intercepción de comunicaciones</t>
  </si>
  <si>
    <t xml:space="preserve">Captura de información transmitida por canales sin cifrar o con cifrado débil (correo, protocolos inseguros).</t>
  </si>
  <si>
    <t xml:space="preserve">Flujo</t>
  </si>
  <si>
    <t xml:space="preserve">C</t>
  </si>
  <si>
    <t xml:space="preserve">A.5.14; A.8.20; A.8.24</t>
  </si>
  <si>
    <t xml:space="preserve">T1040 Network Sniffing</t>
  </si>
  <si>
    <t xml:space="preserve">AMZ-09</t>
  </si>
  <si>
    <t xml:space="preserve">Divulgación de información inducida en usuarios autorizados</t>
  </si>
  <si>
    <t xml:space="preserve">Cause disclosure of critical and/or sensitive information by authorized users.</t>
  </si>
  <si>
    <t xml:space="preserve">Provocar la divulgación de información crítica o sensible por parte de usuarios autorizados</t>
  </si>
  <si>
    <t xml:space="preserve">Mediante engaño, se induce a usuarios autorizados a revelar o manejar indebidamente información sensible.</t>
  </si>
  <si>
    <t xml:space="preserve">Actor; proceso de atención</t>
  </si>
  <si>
    <t xml:space="preserve">A.6.3; A.5.12; A.5.14</t>
  </si>
  <si>
    <t xml:space="preserve">AMZ-10</t>
  </si>
  <si>
    <t xml:space="preserve">Manejo inadecuado de información sensible por usuarios autorizados</t>
  </si>
  <si>
    <t xml:space="preserve">E-3</t>
  </si>
  <si>
    <t xml:space="preserve">Mishandling of critical and/or sensitive information by authorized users.</t>
  </si>
  <si>
    <t xml:space="preserve">Manejo inadecuado de información crítica o sensible por usuarios autorizados</t>
  </si>
  <si>
    <t xml:space="preserve">Accidental</t>
  </si>
  <si>
    <t xml:space="preserve">Privileged User/Administrator (usuario privilegiado)</t>
  </si>
  <si>
    <t xml:space="preserve">Un usuario autorizado expone información sensible por error (envío a destinatario incorrecto, publicación indebida, detalle técnico excesivo).</t>
  </si>
  <si>
    <t xml:space="preserve">Flujo de salida; proceso</t>
  </si>
  <si>
    <t xml:space="preserve">A.5.12; A.5.13; A.5.14; A.6.3; A.8.12</t>
  </si>
  <si>
    <t xml:space="preserve">FT-01</t>
  </si>
  <si>
    <t xml:space="preserve">AMZ-11</t>
  </si>
  <si>
    <t xml:space="preserve">Registro de información sensible en sistemas no autorizados</t>
  </si>
  <si>
    <t xml:space="preserve">Spill sensitive information.</t>
  </si>
  <si>
    <t xml:space="preserve">Derrame de información sensible</t>
  </si>
  <si>
    <t xml:space="preserve">User (usuario)</t>
  </si>
  <si>
    <t xml:space="preserve">Información sensible (credenciales, llaves, configuraciones) se coloca en sistemas no autorizados para ese nivel de sensibilidad, como tickets, correo o mensajería.</t>
  </si>
  <si>
    <t xml:space="preserve">Almacén; proceso</t>
  </si>
  <si>
    <t xml:space="preserve">A.5.12; A.5.17; A.8.11; A.8.12</t>
  </si>
  <si>
    <t xml:space="preserve">T1552 Unsecured Credentials</t>
  </si>
  <si>
    <t xml:space="preserve">AMZ-12</t>
  </si>
  <si>
    <t xml:space="preserve">Exfiltración de información sensible</t>
  </si>
  <si>
    <t xml:space="preserve">Obtain sensitive information via exfiltration.</t>
  </si>
  <si>
    <t xml:space="preserve">Obtener información sensible mediante exfiltración</t>
  </si>
  <si>
    <t xml:space="preserve">Código malicioso o un atacante localiza y extrae de forma encubierta información sensible de los sistemas.</t>
  </si>
  <si>
    <t xml:space="preserve">A.8.7; A.8.12; A.8.16; A.8.24</t>
  </si>
  <si>
    <t xml:space="preserve">T1048 Exfiltration Over Alternative Protocol</t>
  </si>
  <si>
    <t xml:space="preserve">AMZ-13</t>
  </si>
  <si>
    <t xml:space="preserve">Acceso que excede la autorización otorgada</t>
  </si>
  <si>
    <t xml:space="preserve">Obtain unauthorized access.</t>
  </si>
  <si>
    <t xml:space="preserve">Obtener acceso no autorizado</t>
  </si>
  <si>
    <t xml:space="preserve">Un usuario con acceso legítimo obtiene acceso a recursos más allá de lo autorizado (por ejemplo, información de otros clientes).</t>
  </si>
  <si>
    <t xml:space="preserve">Proceso; almacén</t>
  </si>
  <si>
    <t xml:space="preserve">A.5.15; A.5.18; A.8.2; A.8.3</t>
  </si>
  <si>
    <t xml:space="preserve">AMZ-14</t>
  </si>
  <si>
    <t xml:space="preserve">Asignación incorrecta de privilegios</t>
  </si>
  <si>
    <t xml:space="preserve">Incorrect privilege settings.</t>
  </si>
  <si>
    <t xml:space="preserve">Configuración incorrecta de privilegios</t>
  </si>
  <si>
    <t xml:space="preserve">Un administrador asigna por error privilegios excesivos a un usuario o reduce los requisitos de acceso de un recurso.</t>
  </si>
  <si>
    <t xml:space="preserve">A.5.15; A.5.18; A.8.2</t>
  </si>
  <si>
    <t xml:space="preserve">AMZ-15</t>
  </si>
  <si>
    <t xml:space="preserve">Persona malintencionada en posición privilegiada</t>
  </si>
  <si>
    <t xml:space="preserve">Insert subverted individuals into privileged positions in organizations.</t>
  </si>
  <si>
    <t xml:space="preserve">Introducir personas comprometidas en posiciones privilegiadas de la organización</t>
  </si>
  <si>
    <t xml:space="preserve">Privileged Insider (interno privilegiado)</t>
  </si>
  <si>
    <t xml:space="preserve">Una persona con funciones privilegiadas (interna o de un proveedor) actúa deliberadamente contra la organización o sus clientes.</t>
  </si>
  <si>
    <t xml:space="preserve">Actor interno o de proveedor</t>
  </si>
  <si>
    <t xml:space="preserve">A.6.1; A.6.6; A.5.3; A.8.2; A.8.15</t>
  </si>
  <si>
    <t xml:space="preserve">FT-02; FT-04</t>
  </si>
  <si>
    <t xml:space="preserve">AMZ-16</t>
  </si>
  <si>
    <t xml:space="preserve">Explotación de sistemas mal configurados expuestos a Internet</t>
  </si>
  <si>
    <t xml:space="preserve">Exploit poorly configured or unauthorized information systems exposed to the Internet.</t>
  </si>
  <si>
    <t xml:space="preserve">Explotar sistemas mal configurados o no autorizados expuestos a Internet</t>
  </si>
  <si>
    <t xml:space="preserve">Acceso desde Internet a sistemas o interfaces (por ejemplo, de administración) que no deberían estar expuestos o no cumplen la configuración requerida.</t>
  </si>
  <si>
    <t xml:space="preserve">Proceso expuesto; flujo de administración</t>
  </si>
  <si>
    <t xml:space="preserve">A.8.9; A.8.20; A.8.21; A.8.22</t>
  </si>
  <si>
    <t xml:space="preserve">T1133 External Remote Services</t>
  </si>
  <si>
    <t xml:space="preserve">AMZ-17</t>
  </si>
  <si>
    <t xml:space="preserve">Explotación de vulnerabilidades recién descubiertas</t>
  </si>
  <si>
    <t xml:space="preserve">Exploit recently discovered vulnerabilities.</t>
  </si>
  <si>
    <t xml:space="preserve">Explotar vulnerabilidades recién descubiertas</t>
  </si>
  <si>
    <t xml:space="preserve">Aprovechamiento de vulnerabilidades publicadas antes de que se apliquen parches o mitigaciones.</t>
  </si>
  <si>
    <t xml:space="preserve">Proceso; dispositivo de seguridad</t>
  </si>
  <si>
    <t xml:space="preserve">A.8.8; A.5.7; A.8.9</t>
  </si>
  <si>
    <t xml:space="preserve">T1190 Exploit Public-Facing Application</t>
  </si>
  <si>
    <t xml:space="preserve">FT-01; FT-02; FT-03</t>
  </si>
  <si>
    <t xml:space="preserve">AMZ-18</t>
  </si>
  <si>
    <t xml:space="preserve">Uso de puertos, protocolos o servicios no autorizados</t>
  </si>
  <si>
    <t xml:space="preserve">Conduct attacks using unauthorized ports, protocols and services.</t>
  </si>
  <si>
    <t xml:space="preserve">Realizar ataques usando puertos, protocolos y servicios no autorizados</t>
  </si>
  <si>
    <t xml:space="preserve">Uso de puertos, protocolos o servicios no permitidos (por ejemplo, protocolos de administración inseguros) para entrar o salir de la red.</t>
  </si>
  <si>
    <t xml:space="preserve">Flujo; proceso perimetral</t>
  </si>
  <si>
    <t xml:space="preserve">A.8.20; A.8.21; A.8.22; A.8.9</t>
  </si>
  <si>
    <t xml:space="preserve">T1571 Non-Standard Port</t>
  </si>
  <si>
    <t xml:space="preserve">AMZ-19</t>
  </si>
  <si>
    <t xml:space="preserve">Inyección de datos falsos pero creíbles</t>
  </si>
  <si>
    <t xml:space="preserve">Cause integrity loss by injecting false but believable data into organizational information systems.</t>
  </si>
  <si>
    <t xml:space="preserve">Provocar pérdida de integridad inyectando datos falsos pero creíbles en los sistemas</t>
  </si>
  <si>
    <t xml:space="preserve">Registro de información falsa pero verosímil (por ejemplo, en tickets, solicitudes o asignaciones) que lleva a decisiones o acciones incorrectas.</t>
  </si>
  <si>
    <t xml:space="preserve">Almacén; proceso de registro; flujo</t>
  </si>
  <si>
    <t xml:space="preserve">A.8.15; A.5.33; A.8.32</t>
  </si>
  <si>
    <t xml:space="preserve">T1565 Data Manipulation</t>
  </si>
  <si>
    <t xml:space="preserve">AMZ-20</t>
  </si>
  <si>
    <t xml:space="preserve">Corrupción de datos críticos</t>
  </si>
  <si>
    <t xml:space="preserve">Denial of service</t>
  </si>
  <si>
    <t xml:space="preserve">Cause integrity loss by polluting or corrupting critical data.</t>
  </si>
  <si>
    <t xml:space="preserve">Provocar pérdida de integridad contaminando o corrompiendo datos críticos</t>
  </si>
  <si>
    <t xml:space="preserve">Alteración de datos críticos (configuraciones, registros, respaldos) que afecta su confiabilidad.</t>
  </si>
  <si>
    <t xml:space="preserve">Almacén</t>
  </si>
  <si>
    <t xml:space="preserve">A.8.13; A.8.15; A.8.24; A.8.3</t>
  </si>
  <si>
    <t xml:space="preserve">AMZ-21</t>
  </si>
  <si>
    <t xml:space="preserve">Cambio erróneo o no autorizado en la configuración de seguridad</t>
  </si>
  <si>
    <t xml:space="preserve">Organization-defined: Erroneous or unauthorized change to security configuration.</t>
  </si>
  <si>
    <t xml:space="preserve">Un cambio en reglas, políticas o exclusiones se aplica por error, sin autorización o de forma distinta a lo aprobado.</t>
  </si>
  <si>
    <t xml:space="preserve">Flujo de administración; dispositivo de seguridad</t>
  </si>
  <si>
    <t xml:space="preserve">I, D</t>
  </si>
  <si>
    <t xml:space="preserve">A.8.32; A.8.9; A.8.13; A.5.3</t>
  </si>
  <si>
    <t xml:space="preserve">La Tabla E-3 no contiene un evento de error en cambios de configuración; se define conforme a la Tabla E-5. La variante intencional se cubre con AMZ-15 y AMZ-22.</t>
  </si>
  <si>
    <t xml:space="preserve">AMZ-22</t>
  </si>
  <si>
    <t xml:space="preserve">Debilitamiento deliberado de controles de detección o auditoría</t>
  </si>
  <si>
    <t xml:space="preserve">Obfuscate adversary actions.</t>
  </si>
  <si>
    <t xml:space="preserve">Ocultar las acciones del adversario</t>
  </si>
  <si>
    <t xml:space="preserve">Acciones para inhibir la eficacia de controles de detección o auditoría (por ejemplo, deshabilitar políticas o agregar exclusiones en herramientas de protección).</t>
  </si>
  <si>
    <t xml:space="preserve">Dispositivo de seguridad; proceso</t>
  </si>
  <si>
    <t xml:space="preserve">A.8.7; A.8.16; A.8.32; A.8.2</t>
  </si>
  <si>
    <t xml:space="preserve">T1562 Impair Defenses</t>
  </si>
  <si>
    <t xml:space="preserve">AMZ-23</t>
  </si>
  <si>
    <t xml:space="preserve">Eliminación o alteración de bitácoras y evidencias</t>
  </si>
  <si>
    <t xml:space="preserve">Borrado o modificación de registros para ocultar acciones o impedir su atribución.</t>
  </si>
  <si>
    <t xml:space="preserve">Almacén tipo bitácora</t>
  </si>
  <si>
    <t xml:space="preserve">A.8.15; A.5.28; A.5.33; A.8.17</t>
  </si>
  <si>
    <t xml:space="preserve">T1070 Indicator Removal</t>
  </si>
  <si>
    <t xml:space="preserve">AMZ-24</t>
  </si>
  <si>
    <t xml:space="preserve">Negación de una solicitud o acción sin evidencia suficiente</t>
  </si>
  <si>
    <t xml:space="preserve">Organization-defined: Repudiation of a request or action.</t>
  </si>
  <si>
    <t xml:space="preserve">Repudio de una solicitud o acción</t>
  </si>
  <si>
    <t xml:space="preserve">Customer (cliente) / Insider (interno)</t>
  </si>
  <si>
    <t xml:space="preserve">Una parte niega haber solicitado o ejecutado una acción y no existe evidencia suficiente para demostrarlo.</t>
  </si>
  <si>
    <t xml:space="preserve">Actor; almacén de registros</t>
  </si>
  <si>
    <t xml:space="preserve">A.8.15; A.5.33; A.8.17</t>
  </si>
  <si>
    <t xml:space="preserve">El repudio no está representado como evento en E-2/E-3; se define conforme a la Tabla E-5 por ser una categoría STRIDE relevante para la trazabilidad contractual.</t>
  </si>
  <si>
    <t xml:space="preserve">AMZ-25</t>
  </si>
  <si>
    <t xml:space="preserve">Introducción de código malicioso conocido (incluye ransomware)</t>
  </si>
  <si>
    <t xml:space="preserve">Deliver known malware to internal organizational information systems (e.g., virus via email).</t>
  </si>
  <si>
    <t xml:space="preserve">Entregar código malicioso conocido a sistemas internos (por ejemplo, virus por correo)</t>
  </si>
  <si>
    <t xml:space="preserve">Instalación de código malicioso conocido mediante mecanismos comunes como el correo, con posible cifrado o daño de la información.</t>
  </si>
  <si>
    <t xml:space="preserve">A.8.7; A.8.8; A.8.13; A.6.3</t>
  </si>
  <si>
    <t xml:space="preserve">T1486 Data Encrypted for Impact</t>
  </si>
  <si>
    <t xml:space="preserve">AMZ-26</t>
  </si>
  <si>
    <t xml:space="preserve">Denegación de servicio simple</t>
  </si>
  <si>
    <t xml:space="preserve">Conduct simple Denial of Service (DoS) attack.</t>
  </si>
  <si>
    <t xml:space="preserve">Realizar un ataque simple de denegación de servicio</t>
  </si>
  <si>
    <t xml:space="preserve">Intento de dejar indisponible o degradado un recurso accesible desde Internet.</t>
  </si>
  <si>
    <t xml:space="preserve">Proceso expuesto; flujo</t>
  </si>
  <si>
    <t xml:space="preserve">D</t>
  </si>
  <si>
    <t xml:space="preserve">A.8.6; A.8.20; A.8.14</t>
  </si>
  <si>
    <t xml:space="preserve">T1499 Endpoint Denial of Service</t>
  </si>
  <si>
    <t xml:space="preserve">AMZ-27</t>
  </si>
  <si>
    <t xml:space="preserve">Denegación de servicio distribuida</t>
  </si>
  <si>
    <t xml:space="preserve">Conduct Distributed Denial of Service (DDoS) attacks.</t>
  </si>
  <si>
    <t xml:space="preserve">Realizar ataques de denegación de servicio distribuida</t>
  </si>
  <si>
    <t xml:space="preserve">Uso de múltiples sistemas comprometidos contra un objetivo para causar indisponibilidad.</t>
  </si>
  <si>
    <t xml:space="preserve">Proceso expuesto; enlace</t>
  </si>
  <si>
    <t xml:space="preserve">A.8.6; A.8.14; A.8.20; A.5.30</t>
  </si>
  <si>
    <t xml:space="preserve">T1498 Network Denial of Service</t>
  </si>
  <si>
    <t xml:space="preserve">AMZ-28</t>
  </si>
  <si>
    <t xml:space="preserve">Degradación o interrupción de servicios seleccionados</t>
  </si>
  <si>
    <t xml:space="preserve">Cause degradation or denial of attacker-selected services or capabilities.</t>
  </si>
  <si>
    <t xml:space="preserve">Provocar degradación o denegación de servicios o capacidades seleccionados por el atacante</t>
  </si>
  <si>
    <t xml:space="preserve">Código malicioso dirigido a impedir el funcionamiento correcto y oportuno de servicios específicos.</t>
  </si>
  <si>
    <t xml:space="preserve">Proceso</t>
  </si>
  <si>
    <t xml:space="preserve">A.8.7; A.8.16; A.5.30</t>
  </si>
  <si>
    <t xml:space="preserve">T1489 Service Stop</t>
  </si>
  <si>
    <t xml:space="preserve">AMZ-29</t>
  </si>
  <si>
    <t xml:space="preserve">Destrucción de componentes, datos o funciones críticas</t>
  </si>
  <si>
    <t xml:space="preserve">Cause deterioration/destruction of critical information system components and functions.</t>
  </si>
  <si>
    <t xml:space="preserve">Provocar deterioro o destrucción de componentes y funciones críticas</t>
  </si>
  <si>
    <t xml:space="preserve">Destrucción deliberada de componentes, datos o respaldos críticos para impedir la operación.</t>
  </si>
  <si>
    <t xml:space="preserve">A.8.13; A.8.14; A.5.30</t>
  </si>
  <si>
    <t xml:space="preserve">T1485 Data Destruction</t>
  </si>
  <si>
    <t xml:space="preserve">AMZ-30</t>
  </si>
  <si>
    <t xml:space="preserve">Agotamiento de recursos</t>
  </si>
  <si>
    <t xml:space="preserve">Resource depletion.</t>
  </si>
  <si>
    <t xml:space="preserve">Structural</t>
  </si>
  <si>
    <t xml:space="preserve">Processing (procesamiento)</t>
  </si>
  <si>
    <t xml:space="preserve">Degradación del procesamiento por falta de capacidad (CPU, memoria, almacenamiento, licencias, personal de atención).</t>
  </si>
  <si>
    <t xml:space="preserve">A.8.6; A.8.16</t>
  </si>
  <si>
    <t xml:space="preserve">AMZ-31</t>
  </si>
  <si>
    <t xml:space="preserve">Falla de medios de almacenamiento</t>
  </si>
  <si>
    <t xml:space="preserve">Disk error.</t>
  </si>
  <si>
    <t xml:space="preserve">Error de disco</t>
  </si>
  <si>
    <t xml:space="preserve">Storage (almacenamiento)</t>
  </si>
  <si>
    <t xml:space="preserve">Corrupción o pérdida de datos por falla de los medios de almacenamiento.</t>
  </si>
  <si>
    <t xml:space="preserve">A.8.13; A.8.14</t>
  </si>
  <si>
    <t xml:space="preserve">AMZ-32</t>
  </si>
  <si>
    <t xml:space="preserve">Incendio o inundación en la instalación principal</t>
  </si>
  <si>
    <t xml:space="preserve">Fire at primary facility. / Flood at primary facility.</t>
  </si>
  <si>
    <t xml:space="preserve">Incendio / inundación en la instalación principal</t>
  </si>
  <si>
    <t xml:space="preserve">Environmental</t>
  </si>
  <si>
    <t xml:space="preserve">Fire / Flood (desastre)</t>
  </si>
  <si>
    <t xml:space="preserve">Evento ambiental que deja inoperable la instalación principal.</t>
  </si>
  <si>
    <t xml:space="preserve">Proceso; almacén (infraestructura)</t>
  </si>
  <si>
    <t xml:space="preserve">A.7.5; A.5.30; A.8.14; A.8.13</t>
  </si>
  <si>
    <t xml:space="preserve">AMZ-33</t>
  </si>
  <si>
    <t xml:space="preserve">Interrupción de infraestructura de soporte (energía o telecomunicaciones)</t>
  </si>
  <si>
    <t xml:space="preserve">Organization-defined: Supporting infrastructure outage.</t>
  </si>
  <si>
    <t xml:space="preserve">Interrupción de infraestructura de soporte</t>
  </si>
  <si>
    <t xml:space="preserve">Infrastructure Failure/Outage – Telecommunications / Electrical Power</t>
  </si>
  <si>
    <t xml:space="preserve">Interrupción de energía o enlaces de telecomunicaciones fuera del control de la organización.</t>
  </si>
  <si>
    <t xml:space="preserve">Flujo; proceso</t>
  </si>
  <si>
    <t xml:space="preserve">A.7.11; A.8.14; A.5.30</t>
  </si>
  <si>
    <t xml:space="preserve">La Tabla D-2 contempla la fuente 'Infrastructure Failure/Outage'; el evento se define conforme a la Tabla E-5.</t>
  </si>
  <si>
    <t xml:space="preserve">AMZ-34</t>
  </si>
  <si>
    <t xml:space="preserve">Pérdida o destrucción de respaldos en la instalación de respaldo</t>
  </si>
  <si>
    <t xml:space="preserve">Fire at backup facility. / Flood at backup facility.</t>
  </si>
  <si>
    <t xml:space="preserve">Incendio / inundación en la instalación de respaldo</t>
  </si>
  <si>
    <t xml:space="preserve">Evento que inutiliza la instalación de respaldo o destruye respaldos de software, configuraciones, datos o bitácoras.</t>
  </si>
  <si>
    <t xml:space="preserve">Almacén de respaldos</t>
  </si>
  <si>
    <t xml:space="preserve">A.8.13; A.7.5; A.5.30</t>
  </si>
  <si>
    <t xml:space="preserve">AMZ-35</t>
  </si>
  <si>
    <t xml:space="preserve">Introducción de vulnerabilidades en productos de software</t>
  </si>
  <si>
    <t xml:space="preserve">Introduction of vulnerabilities into software products.</t>
  </si>
  <si>
    <t xml:space="preserve">Software</t>
  </si>
  <si>
    <t xml:space="preserve">Debilidades inherentes a productos de software (incluidos los de seguridad) que introducen vulnerabilidades explotables.</t>
  </si>
  <si>
    <t xml:space="preserve">A.8.8; A.5.21; A.8.29</t>
  </si>
  <si>
    <t xml:space="preserve">AMZ-36</t>
  </si>
  <si>
    <t xml:space="preserve">Clasificación o atención errónea de un evento de seguridad</t>
  </si>
  <si>
    <t xml:space="preserve">Organization-defined: Misclassification of a security event.</t>
  </si>
  <si>
    <t xml:space="preserve">Clasificación errónea de un evento de seguridad</t>
  </si>
  <si>
    <t xml:space="preserve">Un evento de seguridad se clasifica o atiende como un caso ordinario, lo que retrasa su contención.</t>
  </si>
  <si>
    <t xml:space="preserve">Proceso de atención; actor de mesa de servicio</t>
  </si>
  <si>
    <t xml:space="preserve">A.5.24; A.5.25; A.6.3; A.6.8</t>
  </si>
  <si>
    <t xml:space="preserve">Evento propio de la gestión de servicios no representado en E-2/E-3; se define conforme a la Tabla E-5.</t>
  </si>
  <si>
    <t xml:space="preserve">AMZ-37</t>
  </si>
  <si>
    <t xml:space="preserve">Recopilación de información pública para ataques dirigidos</t>
  </si>
  <si>
    <t xml:space="preserve">Gather information using open source discovery of organizational information.</t>
  </si>
  <si>
    <t xml:space="preserve">Recopilar información mediante el descubrimiento de información de la organización en fuentes abiertas</t>
  </si>
  <si>
    <t xml:space="preserve">Uso de información pública sobre personal, clientes o proveedores para preparar ataques o pretextos de suplantación.</t>
  </si>
  <si>
    <t xml:space="preserve">Actor; contexto general</t>
  </si>
  <si>
    <t xml:space="preserve">T1593 Search Open Websites/Domains</t>
  </si>
  <si>
    <t xml:space="preserve">AMZ-38</t>
  </si>
  <si>
    <t xml:space="preserve">Robo o sustracción de equipos o medios con información</t>
  </si>
  <si>
    <t xml:space="preserve">Obtain information by opportunistically stealing or scavenging information systems/components.</t>
  </si>
  <si>
    <t xml:space="preserve">Obtener información robando o recuperando de forma oportunista sistemas o componentes</t>
  </si>
  <si>
    <t xml:space="preserve">Robo de equipos o medios desatendidos, o recuperación de componentes desechados que contienen información.</t>
  </si>
  <si>
    <t xml:space="preserve">Actor (equipo de usuario); almacén</t>
  </si>
  <si>
    <t xml:space="preserve">A.8.1; A.7.9; A.7.10; A.7.14; A.8.24</t>
  </si>
  <si>
    <t xml:space="preserve">AMZ-39</t>
  </si>
  <si>
    <t xml:space="preserve">Uso de accesos vigentes de personal dado de baja</t>
  </si>
  <si>
    <t xml:space="preserve">Organization-defined: Use of active access by former personnel.</t>
  </si>
  <si>
    <t xml:space="preserve">Outsider (externo; ex personal interno o de proveedor)</t>
  </si>
  <si>
    <t xml:space="preserve">Una persona que ya no labora en la organización o en un proveedor conserva y utiliza accesos activos.</t>
  </si>
  <si>
    <t xml:space="preserve">Actor; proceso con autenticación</t>
  </si>
  <si>
    <t xml:space="preserve">A.5.18; A.6.5; A.5.19; A.5.20</t>
  </si>
  <si>
    <t xml:space="preserve">Se define conforme a la Tabla E-5; condición recurrente en servicios con terceros.</t>
  </si>
  <si>
    <t xml:space="preserve">FT-04</t>
  </si>
  <si>
    <t xml:space="preserve">Fuentes de tendencia del sector (aprobadas)</t>
  </si>
  <si>
    <t xml:space="preserve">Los hallazgos se resumen en español; consultar la fuente original para citar cifras en entregables formales.</t>
  </si>
  <si>
    <t xml:space="preserve">Fuente</t>
  </si>
  <si>
    <t xml:space="preserve">Emisor / fecha</t>
  </si>
  <si>
    <t xml:space="preserve">Hallazgos utilizados</t>
  </si>
  <si>
    <t xml:space="preserve">Amenazas que respalda</t>
  </si>
  <si>
    <t xml:space="preserve">Enlace</t>
  </si>
  <si>
    <t xml:space="preserve">Data Breach Investigations Report (DBIR) 2026</t>
  </si>
  <si>
    <t xml:space="preserve">Verizon Business – mayo 2026</t>
  </si>
  <si>
    <t xml:space="preserve">La explotación de vulnerabilidades (31%) superó al abuso de credenciales (13%) como principal vector de acceso inicial. Se mantienen el ransomware, la ingeniería social (tercer patrón más común, 16%) y el riesgo de terceros; se reporta fuga de información sensible hacia plataformas de IA externas. Nota: cifras tomadas de la cobertura publicada; verificar contra el informe oficial.</t>
  </si>
  <si>
    <t xml:space="preserve">AMZ-01, 03, 09, 10, 12, 16, 17, 25, 29, 35</t>
  </si>
  <si>
    <t xml:space="preserve">https://www.verizon.com/business/resources/reports/dbir/</t>
  </si>
  <si>
    <t xml:space="preserve">Data Breach Investigations Report (DBIR) 2025</t>
  </si>
  <si>
    <t xml:space="preserve">Verizon Business – abril 2025</t>
  </si>
  <si>
    <t xml:space="preserve">La participación de terceros en brechas se duplicó al 30%; la explotación de vulnerabilidades creció 34%, con foco en dispositivos perimetrales y VPN; el abuso de credenciales (22%) y la explotación (20%) fueron los principales vectores iniciales.</t>
  </si>
  <si>
    <t xml:space="preserve">AMZ-02, 03, 04, 05, 11, 13, 15, 16, 17</t>
  </si>
  <si>
    <t xml:space="preserve">https://verizon.com/about/news/2025-data-breach-investigations-report</t>
  </si>
  <si>
    <t xml:space="preserve">ENISA Threat Landscape 2025</t>
  </si>
  <si>
    <t xml:space="preserve">Agencia de la Unión Europea para la Ciberseguridad – octubre 2025 (incidentes jul-2024 a jun-2025)</t>
  </si>
  <si>
    <t xml:space="preserve">4,875 incidentes analizados. Phishing (60%) y explotación de vulnerabilidades (21.3%) como principales vías de intrusión; DDoS como tipo de incidente dominante; ransomware como amenaza de mayor impacto; ataques a puntos de dependencia de la cadena de suministro digital; ingeniería social potenciada por IA.</t>
  </si>
  <si>
    <t xml:space="preserve">AMZ-01, 02, 05, 06, 09, 17, 25, 26, 27, 28, 35, 37</t>
  </si>
  <si>
    <t xml:space="preserve">https://www.enisa.europa.eu/news/etl-2025-eu-consistently-targeted-by-diverse-yet-convergent-threat-groups</t>
  </si>
  <si>
    <t xml:space="preserve">Joint Cybersecurity Advisory AA22-131A – Protecting Against Cyber Threats to Managed Service Providers and their Customers</t>
  </si>
  <si>
    <t xml:space="preserve">CISA, NSA, FBI, NCSC-UK, ACSC, CCCS, NCSC-NZ – mayo 2022</t>
  </si>
  <si>
    <t xml:space="preserve">Aumento de actividad maliciosa contra proveedores de servicios administrados (MSP), con expectativa de continuidad; un ataque exitoso a un MSP puede tener efectos en cascada sobre sus clientes. Recomienda MFA, deshabilitar cuentas obsoletas, registro y monitoreo, y mínimo privilegio.</t>
  </si>
  <si>
    <t xml:space="preserve">AMZ-05, 15, 39</t>
  </si>
  <si>
    <t xml:space="preserve">https://www.cisa.gov/ncas/alerts/aa22-131a</t>
  </si>
  <si>
    <t xml:space="preserve">Criterio de nivel de tendencia</t>
  </si>
  <si>
    <t xml:space="preserve">La amenaza aparece como vector principal, de mayor frecuencia o de mayor impacto en al menos una fuente, o está dirigida específicamente a proveedores de servicios administrados.</t>
  </si>
  <si>
    <t xml:space="preserve">La amenaza aparece como tendencia relevante en al menos una fuente, sin ser vector principal.</t>
  </si>
  <si>
    <t xml:space="preserve">Sin mención relevante en las fuentes del sector (por ejemplo, eventos ambientales, estructurales o de proceso). Se conserva por su relevancia operativa y de continuidad.</t>
  </si>
  <si>
    <t xml:space="preserve">Correspondencia con NIST SP 800-30 (opcional): Alta y Media equivalen a la relevancia 'Expected' de la Tabla E-4 (observada por pares del sector); Baja equivale a 'Possible'.</t>
  </si>
  <si>
    <t xml:space="preserve">Aplicación del catálogo por diagrama (estándar de 25)</t>
  </si>
  <si>
    <t xml:space="preserve">Hoja por proyecto. Llenar celdas amarillas; el resto se calcula. Para reutilizar con otro cliente, vaciar esta hoja.</t>
  </si>
  <si>
    <t xml:space="preserve">Modelo</t>
  </si>
  <si>
    <t xml:space="preserve">Diagrama</t>
  </si>
  <si>
    <t xml:space="preserve">Elemento DFD</t>
  </si>
  <si>
    <t xml:space="preserve">ID AMZ</t>
  </si>
  <si>
    <t xml:space="preserve">Título (auto)</t>
  </si>
  <si>
    <t xml:space="preserve">STRIDE (auto)</t>
  </si>
  <si>
    <t xml:space="preserve">Tendencia (auto)</t>
  </si>
  <si>
    <t xml:space="preserve">Cruza frontera (Sí/No)</t>
  </si>
  <si>
    <t xml:space="preserve">Multicliente (Sí/No)</t>
  </si>
  <si>
    <t xml:space="preserve">Sin control (Sí/No)</t>
  </si>
  <si>
    <t xml:space="preserve">Puntaje (auto)</t>
  </si>
  <si>
    <t xml:space="preserve">Lugar en el diagrama (auto)</t>
  </si>
  <si>
    <t xml:space="preserve">Priorizada (auto)</t>
  </si>
  <si>
    <t xml:space="preserve">Escenario / justificación</t>
  </si>
  <si>
    <t xml:space="preserve">VIVARO Telecom (ejemplo)</t>
  </si>
  <si>
    <t xml:space="preserve">DFD 1 – PRO-COP-OPE 6.2.2</t>
  </si>
  <si>
    <t xml:space="preserve">Cliente</t>
  </si>
  <si>
    <t xml:space="preserve">Sí</t>
  </si>
  <si>
    <t xml:space="preserve">Ejemplo: la actividad 6.2.2.2 valida póliza activa pero no la identidad del solicitante.</t>
  </si>
  <si>
    <t xml:space="preserve">STRIDE – categorías y aplicabilidad por elemento del DFD</t>
  </si>
  <si>
    <t xml:space="preserve">Fuente: Microsoft STRIDE; Shostack, A. (2014). Threat Modeling: Designing for Security. Wiley.</t>
  </si>
  <si>
    <t xml:space="preserve">Letra</t>
  </si>
  <si>
    <t xml:space="preserve">Categoría (inglés)</t>
  </si>
  <si>
    <t xml:space="preserve">Categoría (español)</t>
  </si>
  <si>
    <t xml:space="preserve">Propiedad afectada</t>
  </si>
  <si>
    <t xml:space="preserve">Pregunta guía</t>
  </si>
  <si>
    <t xml:space="preserve">S</t>
  </si>
  <si>
    <t xml:space="preserve">Suplantación de identidad</t>
  </si>
  <si>
    <t xml:space="preserve">Autenticación</t>
  </si>
  <si>
    <t xml:space="preserve">¿Alguien puede hacerse pasar por otro?</t>
  </si>
  <si>
    <t xml:space="preserve">T</t>
  </si>
  <si>
    <t xml:space="preserve">Manipulación / alteración</t>
  </si>
  <si>
    <t xml:space="preserve">Integridad</t>
  </si>
  <si>
    <t xml:space="preserve">¿Alguien puede modificar datos o configuraciones sin autorización?</t>
  </si>
  <si>
    <t xml:space="preserve">R</t>
  </si>
  <si>
    <t xml:space="preserve">Repudio</t>
  </si>
  <si>
    <t xml:space="preserve">No repudio</t>
  </si>
  <si>
    <t xml:space="preserve">¿Alguien puede negar una acción sin que se pueda demostrar?</t>
  </si>
  <si>
    <t xml:space="preserve">Divulgación de información</t>
  </si>
  <si>
    <t xml:space="preserve">Confidencialidad</t>
  </si>
  <si>
    <t xml:space="preserve">¿Se puede exponer información a quien no debe verla?</t>
  </si>
  <si>
    <t xml:space="preserve">Denegación de servicio</t>
  </si>
  <si>
    <t xml:space="preserve">Disponibilidad</t>
  </si>
  <si>
    <t xml:space="preserve">¿Se puede impedir que el servicio funcione?</t>
  </si>
  <si>
    <t xml:space="preserve">E</t>
  </si>
  <si>
    <t xml:space="preserve">Elevación de privilegios</t>
  </si>
  <si>
    <t xml:space="preserve">Autorización</t>
  </si>
  <si>
    <t xml:space="preserve">¿Alguien puede obtener más permisos de los asignados?</t>
  </si>
  <si>
    <t xml:space="preserve">Actor ('External Entity')</t>
  </si>
  <si>
    <t xml:space="preserve">✔</t>
  </si>
  <si>
    <t xml:space="preserve">Proceso ('Process')</t>
  </si>
  <si>
    <t xml:space="preserve">Almacén ('Data Store')</t>
  </si>
  <si>
    <t xml:space="preserve">✔ (si es bitácora)</t>
  </si>
  <si>
    <t xml:space="preserve">Flujo ('Data Flow')</t>
  </si>
  <si>
    <t xml:space="preserve">Taxonomía de fuentes de amenaza</t>
  </si>
  <si>
    <t xml:space="preserve">Fuente: NIST SP 800-30 Rev.1, Apéndice D, Tabla D-2.</t>
  </si>
  <si>
    <t xml:space="preserve">Tipo</t>
  </si>
  <si>
    <t xml:space="preserve">Subtipos (inglés)</t>
  </si>
  <si>
    <t xml:space="preserve">Descripción</t>
  </si>
  <si>
    <t xml:space="preserve">Individual (Outsider, Insider, Trusted Insider, Privileged Insider); Group (Ad hoc, Established); Organization (Competitor, Supplier, Partner, Customer); Nation-State</t>
  </si>
  <si>
    <t xml:space="preserve">Individuos, grupos, organizaciones o Estados que buscan explotar la dependencia de la organización en sus recursos de información. Se caracterizan por capacidad, intención y selección del objetivo.</t>
  </si>
  <si>
    <t xml:space="preserve">User; Privileged User/Administrator</t>
  </si>
  <si>
    <t xml:space="preserve">Acciones erróneas de personas en el curso de sus responsabilidades diarias.</t>
  </si>
  <si>
    <t xml:space="preserve">IT Equipment; Environmental Controls; Software</t>
  </si>
  <si>
    <t xml:space="preserve">Fallas de equipos, controles ambientales o software.</t>
  </si>
  <si>
    <t xml:space="preserve">Natural or man-made disaster; Unusual Natural Event; Infrastructure Failure/Outage (Telecommunications, Electrical Power)</t>
  </si>
  <si>
    <t xml:space="preserve">Desastres naturales y fallas de infraestructura fuera del control de la organización.</t>
  </si>
  <si>
    <t xml:space="preserve">Controles de referencia</t>
  </si>
  <si>
    <t xml:space="preserve">Fuente: ISO/IEC 27001:2022, Anexo A. Nombres en español de referencia; verificar contra la versión oficial de la organización.</t>
  </si>
  <si>
    <t xml:space="preserve">Control</t>
  </si>
  <si>
    <t xml:space="preserve">Nombre (español)</t>
  </si>
  <si>
    <t xml:space="preserve">Tema</t>
  </si>
  <si>
    <t xml:space="preserve">A.5.3</t>
  </si>
  <si>
    <t xml:space="preserve">Segregación de funciones</t>
  </si>
  <si>
    <t xml:space="preserve">Organizacionales</t>
  </si>
  <si>
    <t xml:space="preserve">A.5.7</t>
  </si>
  <si>
    <t xml:space="preserve">Inteligencia de amenazas</t>
  </si>
  <si>
    <t xml:space="preserve">A.5.12</t>
  </si>
  <si>
    <t xml:space="preserve">Clasificación de la información</t>
  </si>
  <si>
    <t xml:space="preserve">A.5.13</t>
  </si>
  <si>
    <t xml:space="preserve">Etiquetado de la información</t>
  </si>
  <si>
    <t xml:space="preserve">A.5.14</t>
  </si>
  <si>
    <t xml:space="preserve">Transferencia de información</t>
  </si>
  <si>
    <t xml:space="preserve">A.5.15</t>
  </si>
  <si>
    <t xml:space="preserve">Control de acceso</t>
  </si>
  <si>
    <t xml:space="preserve">A.5.16</t>
  </si>
  <si>
    <t xml:space="preserve">Gestión de identidades</t>
  </si>
  <si>
    <t xml:space="preserve">A.5.17</t>
  </si>
  <si>
    <t xml:space="preserve">Información de autenticación</t>
  </si>
  <si>
    <t xml:space="preserve">A.5.18</t>
  </si>
  <si>
    <t xml:space="preserve">Derechos de acceso</t>
  </si>
  <si>
    <t xml:space="preserve">A.5.19</t>
  </si>
  <si>
    <t xml:space="preserve">Seguridad de la información en las relaciones con proveedores</t>
  </si>
  <si>
    <t xml:space="preserve">A.5.20</t>
  </si>
  <si>
    <t xml:space="preserve">Tratamiento de la seguridad de la información en los acuerdos con proveedores</t>
  </si>
  <si>
    <t xml:space="preserve">A.5.21</t>
  </si>
  <si>
    <t xml:space="preserve">Gestión de la seguridad de la información en la cadena de suministro de TIC</t>
  </si>
  <si>
    <t xml:space="preserve">A.5.22</t>
  </si>
  <si>
    <t xml:space="preserve">Seguimiento, revisión y gestión de cambios de los servicios de proveedores</t>
  </si>
  <si>
    <t xml:space="preserve">A.5.24</t>
  </si>
  <si>
    <t xml:space="preserve">Planificación y preparación de la gestión de incidentes de seguridad de la información</t>
  </si>
  <si>
    <t xml:space="preserve">A.5.25</t>
  </si>
  <si>
    <t xml:space="preserve">Evaluación y decisión sobre eventos de seguridad de la información</t>
  </si>
  <si>
    <t xml:space="preserve">A.5.28</t>
  </si>
  <si>
    <t xml:space="preserve">Recopilación de evidencias</t>
  </si>
  <si>
    <t xml:space="preserve">A.5.30</t>
  </si>
  <si>
    <t xml:space="preserve">Preparación de las TIC para la continuidad del negocio</t>
  </si>
  <si>
    <t xml:space="preserve">A.5.33</t>
  </si>
  <si>
    <t xml:space="preserve">Protección de los registros</t>
  </si>
  <si>
    <t xml:space="preserve">A.6.1</t>
  </si>
  <si>
    <t xml:space="preserve">Verificación de antecedentes</t>
  </si>
  <si>
    <t xml:space="preserve">Personas</t>
  </si>
  <si>
    <t xml:space="preserve">A.6.3</t>
  </si>
  <si>
    <t xml:space="preserve">Concienciación, educación y formación en seguridad de la información</t>
  </si>
  <si>
    <t xml:space="preserve">A.6.5</t>
  </si>
  <si>
    <t xml:space="preserve">Responsabilidades tras la finalización o cambio de empleo</t>
  </si>
  <si>
    <t xml:space="preserve">A.6.6</t>
  </si>
  <si>
    <t xml:space="preserve">Acuerdos de confidencialidad o no divulgación</t>
  </si>
  <si>
    <t xml:space="preserve">A.6.8</t>
  </si>
  <si>
    <t xml:space="preserve">Notificación de eventos de seguridad de la información</t>
  </si>
  <si>
    <t xml:space="preserve">A.7.5</t>
  </si>
  <si>
    <t xml:space="preserve">Protección contra amenazas físicas y ambientales</t>
  </si>
  <si>
    <t xml:space="preserve">Físicos</t>
  </si>
  <si>
    <t xml:space="preserve">A.7.9</t>
  </si>
  <si>
    <t xml:space="preserve">Seguridad de los activos fuera de las instalaciones</t>
  </si>
  <si>
    <t xml:space="preserve">A.7.10</t>
  </si>
  <si>
    <t xml:space="preserve">Medios de almacenamiento</t>
  </si>
  <si>
    <t xml:space="preserve">A.7.11</t>
  </si>
  <si>
    <t xml:space="preserve">Servicios de suministro</t>
  </si>
  <si>
    <t xml:space="preserve">A.7.14</t>
  </si>
  <si>
    <t xml:space="preserve">Eliminación o reutilización segura de equipos</t>
  </si>
  <si>
    <t xml:space="preserve">A.8.1</t>
  </si>
  <si>
    <t xml:space="preserve">Dispositivos de punto final del usuario</t>
  </si>
  <si>
    <t xml:space="preserve">Tecnológicos</t>
  </si>
  <si>
    <t xml:space="preserve">A.8.2</t>
  </si>
  <si>
    <t xml:space="preserve">Derechos de acceso privilegiado</t>
  </si>
  <si>
    <t xml:space="preserve">A.8.3</t>
  </si>
  <si>
    <t xml:space="preserve">Restricción del acceso a la información</t>
  </si>
  <si>
    <t xml:space="preserve">A.8.5</t>
  </si>
  <si>
    <t xml:space="preserve">Autenticación segura</t>
  </si>
  <si>
    <t xml:space="preserve">A.8.6</t>
  </si>
  <si>
    <t xml:space="preserve">Gestión de la capacidad</t>
  </si>
  <si>
    <t xml:space="preserve">A.8.7</t>
  </si>
  <si>
    <t xml:space="preserve">Protección contra el malware</t>
  </si>
  <si>
    <t xml:space="preserve">A.8.8</t>
  </si>
  <si>
    <t xml:space="preserve">Gestión de vulnerabilidades técnicas</t>
  </si>
  <si>
    <t xml:space="preserve">A.8.9</t>
  </si>
  <si>
    <t xml:space="preserve">Gestión de la configuración</t>
  </si>
  <si>
    <t xml:space="preserve">A.8.11</t>
  </si>
  <si>
    <t xml:space="preserve">Enmascaramiento de datos</t>
  </si>
  <si>
    <t xml:space="preserve">A.8.12</t>
  </si>
  <si>
    <t xml:space="preserve">Prevención de fuga de datos</t>
  </si>
  <si>
    <t xml:space="preserve">A.8.13</t>
  </si>
  <si>
    <t xml:space="preserve">Copias de seguridad de la información</t>
  </si>
  <si>
    <t xml:space="preserve">A.8.14</t>
  </si>
  <si>
    <t xml:space="preserve">Redundancia de las instalaciones de procesamiento de la información</t>
  </si>
  <si>
    <t xml:space="preserve">A.8.15</t>
  </si>
  <si>
    <t xml:space="preserve">Registro de eventos</t>
  </si>
  <si>
    <t xml:space="preserve">A.8.16</t>
  </si>
  <si>
    <t xml:space="preserve">Actividades de monitorización</t>
  </si>
  <si>
    <t xml:space="preserve">A.8.17</t>
  </si>
  <si>
    <t xml:space="preserve">Sincronización de relojes</t>
  </si>
  <si>
    <t xml:space="preserve">A.8.20</t>
  </si>
  <si>
    <t xml:space="preserve">Seguridad de las redes</t>
  </si>
  <si>
    <t xml:space="preserve">A.8.21</t>
  </si>
  <si>
    <t xml:space="preserve">Seguridad de los servicios de red</t>
  </si>
  <si>
    <t xml:space="preserve">A.8.22</t>
  </si>
  <si>
    <t xml:space="preserve">Segregación de redes</t>
  </si>
  <si>
    <t xml:space="preserve">A.8.23</t>
  </si>
  <si>
    <t xml:space="preserve">Filtrado web</t>
  </si>
  <si>
    <t xml:space="preserve">A.8.24</t>
  </si>
  <si>
    <t xml:space="preserve">Uso de la criptografía</t>
  </si>
  <si>
    <t xml:space="preserve">A.8.29</t>
  </si>
  <si>
    <t xml:space="preserve">Pruebas de seguridad en el desarrollo y la aceptación</t>
  </si>
  <si>
    <t xml:space="preserve">A.8.32</t>
  </si>
  <si>
    <t xml:space="preserve">Gestión de cambios</t>
  </si>
  <si>
    <t xml:space="preserve">Resumen del catálogo (automático)</t>
  </si>
  <si>
    <t xml:space="preserve">Amenazas</t>
  </si>
  <si>
    <t xml:space="preserve">Origen del evento</t>
  </si>
  <si>
    <t xml:space="preserve">Tipo de fuente (D-2)</t>
  </si>
  <si>
    <t xml:space="preserve">Bitácora de control de cambios</t>
  </si>
  <si>
    <t xml:space="preserve">Fecha</t>
  </si>
  <si>
    <t xml:space="preserve">Responsable</t>
  </si>
  <si>
    <t xml:space="preserve">Descripción del cambio</t>
  </si>
  <si>
    <t xml:space="preserve">IDs afectados</t>
  </si>
  <si>
    <t xml:space="preserve">2026-10-07</t>
  </si>
  <si>
    <t xml:space="preserve">Creación del catálogo: 39 amenazas (E-2, E-3 y eventos definidos por la organización conforme a E-5).</t>
  </si>
  <si>
    <t xml:space="preserve">AMZ-01 a AMZ-39</t>
  </si>
  <si>
    <t xml:space="preserve">1.1</t>
  </si>
  <si>
    <t xml:space="preserve">Simplificación: se elimina la relevancia por evidencia interna (Tabla E-4) y se sustituye por nivel de tendencia del sector con fuentes aprobadas (FT-01 a FT-04). Se formaliza el estándar de 25 amenazas por diagrama con selección automática.</t>
  </si>
  <si>
    <t xml:space="preserve">Todas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</si>
</sst>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5.0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/>
      <c r="B6" s="4"/>
    </row>
    <row r="7" customFormat="false" ht="15" hidden="false" customHeight="false" outlineLevel="0" collapsed="false">
      <c r="A7" s="5" t="s">
        <v>6</v>
      </c>
      <c r="B7" s="6"/>
    </row>
    <row r="8" customFormat="false" ht="23.85" hidden="false" customHeight="false" outlineLevel="0" collapsed="false">
      <c r="A8" s="3" t="s">
        <v>7</v>
      </c>
      <c r="B8" s="4" t="s">
        <v>8</v>
      </c>
    </row>
    <row r="9" customFormat="false" ht="35.05" hidden="false" customHeight="false" outlineLevel="0" collapsed="false">
      <c r="A9" s="3" t="s">
        <v>9</v>
      </c>
      <c r="B9" s="4" t="s">
        <v>10</v>
      </c>
    </row>
    <row r="10" customFormat="false" ht="23.85" hidden="false" customHeight="false" outlineLevel="0" collapsed="false">
      <c r="A10" s="3" t="s">
        <v>11</v>
      </c>
      <c r="B10" s="4" t="s">
        <v>12</v>
      </c>
    </row>
    <row r="11" customFormat="false" ht="15" hidden="false" customHeight="false" outlineLevel="0" collapsed="false">
      <c r="A11" s="3" t="s">
        <v>13</v>
      </c>
      <c r="B11" s="4" t="s">
        <v>14</v>
      </c>
    </row>
    <row r="12" customFormat="false" ht="15" hidden="false" customHeight="false" outlineLevel="0" collapsed="false">
      <c r="A12" s="3" t="s">
        <v>15</v>
      </c>
      <c r="B12" s="4" t="s">
        <v>16</v>
      </c>
    </row>
    <row r="13" customFormat="false" ht="15" hidden="false" customHeight="false" outlineLevel="0" collapsed="false">
      <c r="A13" s="3"/>
      <c r="B13" s="4"/>
    </row>
    <row r="14" customFormat="false" ht="15" hidden="false" customHeight="false" outlineLevel="0" collapsed="false">
      <c r="A14" s="5" t="s">
        <v>17</v>
      </c>
      <c r="B14" s="6"/>
    </row>
    <row r="15" customFormat="false" ht="15" hidden="false" customHeight="false" outlineLevel="0" collapsed="false">
      <c r="A15" s="3" t="s">
        <v>18</v>
      </c>
      <c r="B15" s="4" t="s">
        <v>19</v>
      </c>
    </row>
    <row r="16" customFormat="false" ht="23.85" hidden="false" customHeight="false" outlineLevel="0" collapsed="false">
      <c r="A16" s="3" t="s">
        <v>20</v>
      </c>
      <c r="B16" s="4" t="s">
        <v>21</v>
      </c>
    </row>
    <row r="17" customFormat="false" ht="23.85" hidden="false" customHeight="false" outlineLevel="0" collapsed="false">
      <c r="A17" s="3" t="s">
        <v>22</v>
      </c>
      <c r="B17" s="4" t="s">
        <v>23</v>
      </c>
    </row>
    <row r="18" customFormat="false" ht="23.85" hidden="false" customHeight="false" outlineLevel="0" collapsed="false">
      <c r="A18" s="3" t="s">
        <v>24</v>
      </c>
      <c r="B18" s="4" t="s">
        <v>25</v>
      </c>
    </row>
    <row r="19" customFormat="false" ht="23.85" hidden="false" customHeight="false" outlineLevel="0" collapsed="false">
      <c r="A19" s="3" t="s">
        <v>26</v>
      </c>
      <c r="B19" s="4" t="s">
        <v>27</v>
      </c>
    </row>
    <row r="20" customFormat="false" ht="15" hidden="false" customHeight="false" outlineLevel="0" collapsed="false">
      <c r="A20" s="3"/>
      <c r="B20" s="4"/>
    </row>
    <row r="21" customFormat="false" ht="15" hidden="false" customHeight="false" outlineLevel="0" collapsed="false">
      <c r="A21" s="5" t="s">
        <v>28</v>
      </c>
      <c r="B21" s="6"/>
    </row>
    <row r="22" customFormat="false" ht="15" hidden="false" customHeight="false" outlineLevel="0" collapsed="false">
      <c r="A22" s="3" t="s">
        <v>29</v>
      </c>
      <c r="B22" s="4" t="s">
        <v>30</v>
      </c>
    </row>
    <row r="23" customFormat="false" ht="15" hidden="false" customHeight="false" outlineLevel="0" collapsed="false">
      <c r="A23" s="3" t="s">
        <v>31</v>
      </c>
      <c r="B23" s="4" t="s">
        <v>32</v>
      </c>
    </row>
    <row r="24" customFormat="false" ht="15" hidden="false" customHeight="false" outlineLevel="0" collapsed="false">
      <c r="A24" s="3" t="s">
        <v>33</v>
      </c>
      <c r="B24" s="4" t="s">
        <v>34</v>
      </c>
    </row>
    <row r="25" customFormat="false" ht="15" hidden="false" customHeight="false" outlineLevel="0" collapsed="false">
      <c r="A25" s="3" t="s">
        <v>35</v>
      </c>
      <c r="B25" s="4" t="s">
        <v>36</v>
      </c>
    </row>
    <row r="26" customFormat="false" ht="15" hidden="false" customHeight="false" outlineLevel="0" collapsed="false">
      <c r="A26" s="3" t="s">
        <v>37</v>
      </c>
      <c r="B26" s="4" t="s">
        <v>38</v>
      </c>
    </row>
    <row r="27" customFormat="false" ht="15" hidden="false" customHeight="false" outlineLevel="0" collapsed="false">
      <c r="A27" s="3"/>
      <c r="B27" s="4"/>
    </row>
    <row r="28" customFormat="false" ht="15" hidden="false" customHeight="false" outlineLevel="0" collapsed="false">
      <c r="A28" s="5" t="s">
        <v>39</v>
      </c>
      <c r="B28" s="6"/>
    </row>
    <row r="29" customFormat="false" ht="15" hidden="false" customHeight="false" outlineLevel="0" collapsed="false">
      <c r="A29" s="3" t="s">
        <v>40</v>
      </c>
      <c r="B29" s="4" t="s">
        <v>41</v>
      </c>
    </row>
    <row r="30" customFormat="false" ht="15" hidden="false" customHeight="false" outlineLevel="0" collapsed="false">
      <c r="A30" s="3" t="s">
        <v>42</v>
      </c>
      <c r="B30" s="4" t="s">
        <v>43</v>
      </c>
    </row>
    <row r="31" customFormat="false" ht="23.85" hidden="false" customHeight="false" outlineLevel="0" collapsed="false">
      <c r="A31" s="3" t="s">
        <v>44</v>
      </c>
      <c r="B31" s="4" t="s">
        <v>45</v>
      </c>
    </row>
    <row r="32" customFormat="false" ht="15" hidden="false" customHeight="false" outlineLevel="0" collapsed="false">
      <c r="A32" s="3" t="s">
        <v>46</v>
      </c>
      <c r="B32" s="4" t="s">
        <v>47</v>
      </c>
    </row>
    <row r="33" customFormat="false" ht="15" hidden="false" customHeight="false" outlineLevel="0" collapsed="false">
      <c r="A33" s="3" t="s">
        <v>48</v>
      </c>
      <c r="B33" s="4" t="s">
        <v>49</v>
      </c>
    </row>
    <row r="34" customFormat="false" ht="15" hidden="false" customHeight="false" outlineLevel="0" collapsed="false">
      <c r="A34" s="3"/>
      <c r="B34" s="4"/>
    </row>
    <row r="35" customFormat="false" ht="15" hidden="false" customHeight="false" outlineLevel="0" collapsed="false">
      <c r="A35" s="5" t="s">
        <v>50</v>
      </c>
      <c r="B35" s="6"/>
    </row>
    <row r="36" customFormat="false" ht="15" hidden="false" customHeight="false" outlineLevel="0" collapsed="false">
      <c r="A36" s="3" t="s">
        <v>51</v>
      </c>
      <c r="B36" s="4" t="s">
        <v>52</v>
      </c>
    </row>
    <row r="37" customFormat="false" ht="15" hidden="false" customHeight="false" outlineLevel="0" collapsed="false">
      <c r="A37" s="3" t="s">
        <v>53</v>
      </c>
      <c r="B37" s="4" t="s">
        <v>54</v>
      </c>
    </row>
    <row r="38" customFormat="false" ht="15" hidden="false" customHeight="false" outlineLevel="0" collapsed="false">
      <c r="A38" s="3" t="s">
        <v>55</v>
      </c>
      <c r="B38" s="4" t="s">
        <v>56</v>
      </c>
    </row>
    <row r="39" customFormat="false" ht="23.85" hidden="false" customHeight="false" outlineLevel="0" collapsed="false">
      <c r="A39" s="3" t="s">
        <v>57</v>
      </c>
      <c r="B39" s="4" t="s">
        <v>58</v>
      </c>
    </row>
    <row r="40" customFormat="false" ht="15" hidden="false" customHeight="false" outlineLevel="0" collapsed="false">
      <c r="A40" s="3" t="s">
        <v>59</v>
      </c>
      <c r="B40" s="4" t="s">
        <v>60</v>
      </c>
    </row>
    <row r="41" customFormat="false" ht="15" hidden="false" customHeight="false" outlineLevel="0" collapsed="false">
      <c r="A41" s="3" t="s">
        <v>61</v>
      </c>
      <c r="B41" s="4" t="s">
        <v>62</v>
      </c>
    </row>
    <row r="42" customFormat="false" ht="15" hidden="false" customHeight="false" outlineLevel="0" collapsed="false">
      <c r="A42" s="3"/>
      <c r="B42" s="4"/>
    </row>
    <row r="43" customFormat="false" ht="15" hidden="false" customHeight="false" outlineLevel="0" collapsed="false">
      <c r="A43" s="5" t="s">
        <v>63</v>
      </c>
      <c r="B43" s="6"/>
    </row>
    <row r="44" customFormat="false" ht="15" hidden="false" customHeight="false" outlineLevel="0" collapsed="false">
      <c r="A44" s="3" t="s">
        <v>64</v>
      </c>
      <c r="B44" s="4" t="s">
        <v>65</v>
      </c>
    </row>
    <row r="45" customFormat="false" ht="15" hidden="false" customHeight="false" outlineLevel="0" collapsed="false">
      <c r="A45" s="3" t="s">
        <v>66</v>
      </c>
      <c r="B45" s="4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4" min="3" style="0" width="15"/>
    <col collapsed="false" customWidth="true" hidden="false" outlineLevel="0" max="5" min="5" style="0" width="11"/>
    <col collapsed="false" customWidth="true" hidden="false" outlineLevel="0" max="6" min="6" style="0" width="46"/>
    <col collapsed="false" customWidth="true" hidden="false" outlineLevel="0" max="7" min="7" style="0" width="40"/>
    <col collapsed="false" customWidth="true" hidden="false" outlineLevel="0" max="8" min="8" style="0" width="15"/>
    <col collapsed="false" customWidth="true" hidden="false" outlineLevel="0" max="9" min="9" style="0" width="26"/>
    <col collapsed="false" customWidth="true" hidden="false" outlineLevel="0" max="10" min="10" style="0" width="52"/>
    <col collapsed="false" customWidth="true" hidden="false" outlineLevel="0" max="11" min="11" style="0" width="26"/>
    <col collapsed="false" customWidth="true" hidden="false" outlineLevel="0" max="12" min="12" style="0" width="9"/>
    <col collapsed="false" customWidth="true" hidden="false" outlineLevel="0" max="13" min="13" style="0" width="30"/>
    <col collapsed="false" customWidth="true" hidden="false" outlineLevel="0" max="14" min="14" style="0" width="28"/>
    <col collapsed="false" customWidth="true" hidden="false" outlineLevel="0" max="15" min="15" style="0" width="48"/>
    <col collapsed="false" customWidth="true" hidden="false" outlineLevel="0" max="16" min="16" style="0" width="11"/>
    <col collapsed="false" customWidth="true" hidden="false" outlineLevel="0" max="17" min="17" style="0" width="16"/>
    <col collapsed="false" customWidth="true" hidden="false" outlineLevel="0" max="18" min="18" style="0" width="10"/>
    <col collapsed="false" customWidth="true" hidden="false" outlineLevel="0" max="19" min="19" style="0" width="8"/>
  </cols>
  <sheetData>
    <row r="1" customFormat="false" ht="35.05" hidden="false" customHeight="false" outlineLevel="0" collapsed="false">
      <c r="A1" s="7" t="s">
        <v>68</v>
      </c>
      <c r="B1" s="7" t="s">
        <v>69</v>
      </c>
      <c r="C1" s="7" t="s">
        <v>70</v>
      </c>
      <c r="D1" s="7" t="s">
        <v>71</v>
      </c>
      <c r="E1" s="7" t="s">
        <v>72</v>
      </c>
      <c r="F1" s="7" t="s">
        <v>73</v>
      </c>
      <c r="G1" s="7" t="s">
        <v>74</v>
      </c>
      <c r="H1" s="7" t="s">
        <v>75</v>
      </c>
      <c r="I1" s="7" t="s">
        <v>76</v>
      </c>
      <c r="J1" s="7" t="s">
        <v>77</v>
      </c>
      <c r="K1" s="7" t="s">
        <v>78</v>
      </c>
      <c r="L1" s="7" t="s">
        <v>79</v>
      </c>
      <c r="M1" s="7" t="s">
        <v>80</v>
      </c>
      <c r="N1" s="7" t="s">
        <v>81</v>
      </c>
      <c r="O1" s="7" t="s">
        <v>82</v>
      </c>
      <c r="P1" s="7" t="s">
        <v>11</v>
      </c>
      <c r="Q1" s="7" t="s">
        <v>83</v>
      </c>
      <c r="R1" s="7" t="s">
        <v>84</v>
      </c>
      <c r="S1" s="7" t="s">
        <v>85</v>
      </c>
    </row>
    <row r="2" customFormat="false" ht="35.05" hidden="false" customHeight="false" outlineLevel="0" collapsed="false">
      <c r="A2" s="8" t="s">
        <v>86</v>
      </c>
      <c r="B2" s="8" t="s">
        <v>87</v>
      </c>
      <c r="C2" s="8" t="s">
        <v>88</v>
      </c>
      <c r="D2" s="8"/>
      <c r="E2" s="8" t="s">
        <v>89</v>
      </c>
      <c r="F2" s="8" t="s">
        <v>90</v>
      </c>
      <c r="G2" s="8" t="s">
        <v>91</v>
      </c>
      <c r="H2" s="8" t="s">
        <v>92</v>
      </c>
      <c r="I2" s="8" t="s">
        <v>93</v>
      </c>
      <c r="J2" s="8" t="s">
        <v>94</v>
      </c>
      <c r="K2" s="8" t="s">
        <v>95</v>
      </c>
      <c r="L2" s="8" t="s">
        <v>96</v>
      </c>
      <c r="M2" s="8" t="s">
        <v>97</v>
      </c>
      <c r="N2" s="8" t="s">
        <v>98</v>
      </c>
      <c r="O2" s="8" t="s">
        <v>99</v>
      </c>
      <c r="P2" s="9" t="s">
        <v>100</v>
      </c>
      <c r="Q2" s="8" t="s">
        <v>101</v>
      </c>
      <c r="R2" s="8" t="s">
        <v>102</v>
      </c>
      <c r="S2" s="8" t="s">
        <v>103</v>
      </c>
    </row>
    <row r="3" customFormat="false" ht="35.05" hidden="false" customHeight="false" outlineLevel="0" collapsed="false">
      <c r="A3" s="8" t="s">
        <v>104</v>
      </c>
      <c r="B3" s="8" t="s">
        <v>105</v>
      </c>
      <c r="C3" s="8" t="s">
        <v>88</v>
      </c>
      <c r="D3" s="8" t="s">
        <v>106</v>
      </c>
      <c r="E3" s="8" t="s">
        <v>89</v>
      </c>
      <c r="F3" s="8" t="s">
        <v>107</v>
      </c>
      <c r="G3" s="8" t="s">
        <v>108</v>
      </c>
      <c r="H3" s="8" t="s">
        <v>92</v>
      </c>
      <c r="I3" s="8" t="s">
        <v>93</v>
      </c>
      <c r="J3" s="8" t="s">
        <v>109</v>
      </c>
      <c r="K3" s="8" t="s">
        <v>110</v>
      </c>
      <c r="L3" s="8" t="s">
        <v>96</v>
      </c>
      <c r="M3" s="8" t="s">
        <v>111</v>
      </c>
      <c r="N3" s="8" t="s">
        <v>112</v>
      </c>
      <c r="O3" s="8"/>
      <c r="P3" s="9" t="s">
        <v>100</v>
      </c>
      <c r="Q3" s="8" t="s">
        <v>113</v>
      </c>
      <c r="R3" s="8" t="s">
        <v>102</v>
      </c>
      <c r="S3" s="8" t="s">
        <v>103</v>
      </c>
    </row>
    <row r="4" customFormat="false" ht="23.85" hidden="false" customHeight="false" outlineLevel="0" collapsed="false">
      <c r="A4" s="8" t="s">
        <v>114</v>
      </c>
      <c r="B4" s="8" t="s">
        <v>115</v>
      </c>
      <c r="C4" s="8" t="s">
        <v>88</v>
      </c>
      <c r="D4" s="8"/>
      <c r="E4" s="8" t="s">
        <v>89</v>
      </c>
      <c r="F4" s="8" t="s">
        <v>116</v>
      </c>
      <c r="G4" s="8" t="s">
        <v>117</v>
      </c>
      <c r="H4" s="8" t="s">
        <v>92</v>
      </c>
      <c r="I4" s="8" t="s">
        <v>93</v>
      </c>
      <c r="J4" s="8" t="s">
        <v>118</v>
      </c>
      <c r="K4" s="8" t="s">
        <v>119</v>
      </c>
      <c r="L4" s="8" t="s">
        <v>96</v>
      </c>
      <c r="M4" s="8" t="s">
        <v>120</v>
      </c>
      <c r="N4" s="8" t="s">
        <v>121</v>
      </c>
      <c r="O4" s="8"/>
      <c r="P4" s="10" t="s">
        <v>122</v>
      </c>
      <c r="Q4" s="8" t="s">
        <v>123</v>
      </c>
      <c r="R4" s="8" t="s">
        <v>102</v>
      </c>
      <c r="S4" s="8" t="s">
        <v>103</v>
      </c>
    </row>
    <row r="5" customFormat="false" ht="35.05" hidden="false" customHeight="false" outlineLevel="0" collapsed="false">
      <c r="A5" s="8" t="s">
        <v>124</v>
      </c>
      <c r="B5" s="8" t="s">
        <v>125</v>
      </c>
      <c r="C5" s="8" t="s">
        <v>88</v>
      </c>
      <c r="D5" s="8" t="s">
        <v>126</v>
      </c>
      <c r="E5" s="8" t="s">
        <v>127</v>
      </c>
      <c r="F5" s="8" t="s">
        <v>128</v>
      </c>
      <c r="G5" s="8" t="s">
        <v>125</v>
      </c>
      <c r="H5" s="8" t="s">
        <v>92</v>
      </c>
      <c r="I5" s="8" t="s">
        <v>129</v>
      </c>
      <c r="J5" s="8" t="s">
        <v>130</v>
      </c>
      <c r="K5" s="8" t="s">
        <v>131</v>
      </c>
      <c r="L5" s="8" t="s">
        <v>132</v>
      </c>
      <c r="M5" s="8" t="s">
        <v>133</v>
      </c>
      <c r="N5" s="8" t="s">
        <v>134</v>
      </c>
      <c r="O5" s="8" t="s">
        <v>135</v>
      </c>
      <c r="P5" s="10" t="s">
        <v>122</v>
      </c>
      <c r="Q5" s="8" t="s">
        <v>136</v>
      </c>
      <c r="R5" s="8" t="s">
        <v>102</v>
      </c>
      <c r="S5" s="8" t="s">
        <v>103</v>
      </c>
    </row>
    <row r="6" customFormat="false" ht="46.25" hidden="false" customHeight="false" outlineLevel="0" collapsed="false">
      <c r="A6" s="8" t="s">
        <v>137</v>
      </c>
      <c r="B6" s="8" t="s">
        <v>138</v>
      </c>
      <c r="C6" s="8" t="s">
        <v>88</v>
      </c>
      <c r="D6" s="8" t="s">
        <v>139</v>
      </c>
      <c r="E6" s="8" t="s">
        <v>127</v>
      </c>
      <c r="F6" s="8" t="s">
        <v>140</v>
      </c>
      <c r="G6" s="8" t="s">
        <v>141</v>
      </c>
      <c r="H6" s="8" t="s">
        <v>92</v>
      </c>
      <c r="I6" s="8" t="s">
        <v>142</v>
      </c>
      <c r="J6" s="8" t="s">
        <v>143</v>
      </c>
      <c r="K6" s="8" t="s">
        <v>144</v>
      </c>
      <c r="L6" s="8" t="s">
        <v>145</v>
      </c>
      <c r="M6" s="8" t="s">
        <v>146</v>
      </c>
      <c r="N6" s="8" t="s">
        <v>147</v>
      </c>
      <c r="O6" s="8" t="s">
        <v>148</v>
      </c>
      <c r="P6" s="9" t="s">
        <v>100</v>
      </c>
      <c r="Q6" s="8" t="s">
        <v>149</v>
      </c>
      <c r="R6" s="8" t="s">
        <v>102</v>
      </c>
      <c r="S6" s="8" t="s">
        <v>103</v>
      </c>
    </row>
    <row r="7" customFormat="false" ht="23.85" hidden="false" customHeight="false" outlineLevel="0" collapsed="false">
      <c r="A7" s="8" t="s">
        <v>150</v>
      </c>
      <c r="B7" s="8" t="s">
        <v>151</v>
      </c>
      <c r="C7" s="8" t="s">
        <v>88</v>
      </c>
      <c r="D7" s="8" t="s">
        <v>139</v>
      </c>
      <c r="E7" s="8" t="s">
        <v>89</v>
      </c>
      <c r="F7" s="8" t="s">
        <v>152</v>
      </c>
      <c r="G7" s="8" t="s">
        <v>153</v>
      </c>
      <c r="H7" s="8" t="s">
        <v>92</v>
      </c>
      <c r="I7" s="8" t="s">
        <v>93</v>
      </c>
      <c r="J7" s="8" t="s">
        <v>154</v>
      </c>
      <c r="K7" s="8" t="s">
        <v>155</v>
      </c>
      <c r="L7" s="8" t="s">
        <v>96</v>
      </c>
      <c r="M7" s="8" t="s">
        <v>156</v>
      </c>
      <c r="N7" s="8" t="s">
        <v>157</v>
      </c>
      <c r="O7" s="8"/>
      <c r="P7" s="10" t="s">
        <v>122</v>
      </c>
      <c r="Q7" s="8" t="s">
        <v>158</v>
      </c>
      <c r="R7" s="8" t="s">
        <v>102</v>
      </c>
      <c r="S7" s="8" t="s">
        <v>103</v>
      </c>
    </row>
    <row r="8" customFormat="false" ht="35.05" hidden="false" customHeight="false" outlineLevel="0" collapsed="false">
      <c r="A8" s="8" t="s">
        <v>159</v>
      </c>
      <c r="B8" s="8" t="s">
        <v>160</v>
      </c>
      <c r="C8" s="8" t="s">
        <v>161</v>
      </c>
      <c r="D8" s="8" t="s">
        <v>106</v>
      </c>
      <c r="E8" s="8" t="s">
        <v>89</v>
      </c>
      <c r="F8" s="8" t="s">
        <v>162</v>
      </c>
      <c r="G8" s="8" t="s">
        <v>163</v>
      </c>
      <c r="H8" s="8" t="s">
        <v>92</v>
      </c>
      <c r="I8" s="8" t="s">
        <v>93</v>
      </c>
      <c r="J8" s="8" t="s">
        <v>164</v>
      </c>
      <c r="K8" s="8" t="s">
        <v>165</v>
      </c>
      <c r="L8" s="8" t="s">
        <v>96</v>
      </c>
      <c r="M8" s="8" t="s">
        <v>166</v>
      </c>
      <c r="N8" s="8" t="s">
        <v>167</v>
      </c>
      <c r="O8" s="8"/>
      <c r="P8" s="11" t="s">
        <v>168</v>
      </c>
      <c r="Q8" s="8" t="s">
        <v>169</v>
      </c>
      <c r="R8" s="8" t="s">
        <v>102</v>
      </c>
      <c r="S8" s="8" t="s">
        <v>103</v>
      </c>
    </row>
    <row r="9" customFormat="false" ht="35.05" hidden="false" customHeight="false" outlineLevel="0" collapsed="false">
      <c r="A9" s="8" t="s">
        <v>170</v>
      </c>
      <c r="B9" s="8" t="s">
        <v>171</v>
      </c>
      <c r="C9" s="8" t="s">
        <v>106</v>
      </c>
      <c r="D9" s="8"/>
      <c r="E9" s="8" t="s">
        <v>89</v>
      </c>
      <c r="F9" s="8" t="s">
        <v>172</v>
      </c>
      <c r="G9" s="8" t="s">
        <v>173</v>
      </c>
      <c r="H9" s="8" t="s">
        <v>92</v>
      </c>
      <c r="I9" s="8" t="s">
        <v>93</v>
      </c>
      <c r="J9" s="8" t="s">
        <v>174</v>
      </c>
      <c r="K9" s="8" t="s">
        <v>175</v>
      </c>
      <c r="L9" s="8" t="s">
        <v>176</v>
      </c>
      <c r="M9" s="8" t="s">
        <v>177</v>
      </c>
      <c r="N9" s="8" t="s">
        <v>178</v>
      </c>
      <c r="O9" s="8"/>
      <c r="P9" s="11" t="s">
        <v>168</v>
      </c>
      <c r="Q9" s="8" t="s">
        <v>169</v>
      </c>
      <c r="R9" s="8" t="s">
        <v>102</v>
      </c>
      <c r="S9" s="8" t="s">
        <v>103</v>
      </c>
    </row>
    <row r="10" customFormat="false" ht="23.85" hidden="false" customHeight="false" outlineLevel="0" collapsed="false">
      <c r="A10" s="8" t="s">
        <v>179</v>
      </c>
      <c r="B10" s="8" t="s">
        <v>180</v>
      </c>
      <c r="C10" s="8" t="s">
        <v>106</v>
      </c>
      <c r="D10" s="8"/>
      <c r="E10" s="8" t="s">
        <v>89</v>
      </c>
      <c r="F10" s="8" t="s">
        <v>181</v>
      </c>
      <c r="G10" s="8" t="s">
        <v>182</v>
      </c>
      <c r="H10" s="8" t="s">
        <v>92</v>
      </c>
      <c r="I10" s="8" t="s">
        <v>93</v>
      </c>
      <c r="J10" s="8" t="s">
        <v>183</v>
      </c>
      <c r="K10" s="8" t="s">
        <v>184</v>
      </c>
      <c r="L10" s="8" t="s">
        <v>176</v>
      </c>
      <c r="M10" s="8" t="s">
        <v>185</v>
      </c>
      <c r="N10" s="8" t="s">
        <v>98</v>
      </c>
      <c r="O10" s="8"/>
      <c r="P10" s="9" t="s">
        <v>100</v>
      </c>
      <c r="Q10" s="8" t="s">
        <v>101</v>
      </c>
      <c r="R10" s="8" t="s">
        <v>102</v>
      </c>
      <c r="S10" s="8" t="s">
        <v>103</v>
      </c>
    </row>
    <row r="11" customFormat="false" ht="35.05" hidden="false" customHeight="false" outlineLevel="0" collapsed="false">
      <c r="A11" s="8" t="s">
        <v>186</v>
      </c>
      <c r="B11" s="8" t="s">
        <v>187</v>
      </c>
      <c r="C11" s="8" t="s">
        <v>106</v>
      </c>
      <c r="D11" s="8"/>
      <c r="E11" s="8" t="s">
        <v>188</v>
      </c>
      <c r="F11" s="8" t="s">
        <v>189</v>
      </c>
      <c r="G11" s="8" t="s">
        <v>190</v>
      </c>
      <c r="H11" s="8" t="s">
        <v>191</v>
      </c>
      <c r="I11" s="8" t="s">
        <v>192</v>
      </c>
      <c r="J11" s="8" t="s">
        <v>193</v>
      </c>
      <c r="K11" s="8" t="s">
        <v>194</v>
      </c>
      <c r="L11" s="8" t="s">
        <v>176</v>
      </c>
      <c r="M11" s="8" t="s">
        <v>195</v>
      </c>
      <c r="N11" s="8"/>
      <c r="O11" s="8"/>
      <c r="P11" s="10" t="s">
        <v>122</v>
      </c>
      <c r="Q11" s="8" t="s">
        <v>196</v>
      </c>
      <c r="R11" s="8" t="s">
        <v>102</v>
      </c>
      <c r="S11" s="8" t="s">
        <v>103</v>
      </c>
    </row>
    <row r="12" customFormat="false" ht="35.05" hidden="false" customHeight="false" outlineLevel="0" collapsed="false">
      <c r="A12" s="8" t="s">
        <v>197</v>
      </c>
      <c r="B12" s="8" t="s">
        <v>198</v>
      </c>
      <c r="C12" s="8" t="s">
        <v>106</v>
      </c>
      <c r="D12" s="8"/>
      <c r="E12" s="8" t="s">
        <v>188</v>
      </c>
      <c r="F12" s="8" t="s">
        <v>199</v>
      </c>
      <c r="G12" s="8" t="s">
        <v>200</v>
      </c>
      <c r="H12" s="8" t="s">
        <v>191</v>
      </c>
      <c r="I12" s="8" t="s">
        <v>201</v>
      </c>
      <c r="J12" s="8" t="s">
        <v>202</v>
      </c>
      <c r="K12" s="8" t="s">
        <v>203</v>
      </c>
      <c r="L12" s="8" t="s">
        <v>176</v>
      </c>
      <c r="M12" s="8" t="s">
        <v>204</v>
      </c>
      <c r="N12" s="8" t="s">
        <v>205</v>
      </c>
      <c r="O12" s="8"/>
      <c r="P12" s="10" t="s">
        <v>122</v>
      </c>
      <c r="Q12" s="8" t="s">
        <v>136</v>
      </c>
      <c r="R12" s="8" t="s">
        <v>102</v>
      </c>
      <c r="S12" s="8" t="s">
        <v>103</v>
      </c>
    </row>
    <row r="13" customFormat="false" ht="23.85" hidden="false" customHeight="false" outlineLevel="0" collapsed="false">
      <c r="A13" s="8" t="s">
        <v>206</v>
      </c>
      <c r="B13" s="8" t="s">
        <v>207</v>
      </c>
      <c r="C13" s="8" t="s">
        <v>106</v>
      </c>
      <c r="D13" s="8"/>
      <c r="E13" s="8" t="s">
        <v>89</v>
      </c>
      <c r="F13" s="8" t="s">
        <v>208</v>
      </c>
      <c r="G13" s="8" t="s">
        <v>209</v>
      </c>
      <c r="H13" s="8" t="s">
        <v>92</v>
      </c>
      <c r="I13" s="8" t="s">
        <v>93</v>
      </c>
      <c r="J13" s="8" t="s">
        <v>210</v>
      </c>
      <c r="K13" s="8" t="s">
        <v>203</v>
      </c>
      <c r="L13" s="8" t="s">
        <v>176</v>
      </c>
      <c r="M13" s="8" t="s">
        <v>211</v>
      </c>
      <c r="N13" s="8" t="s">
        <v>212</v>
      </c>
      <c r="O13" s="8"/>
      <c r="P13" s="10" t="s">
        <v>122</v>
      </c>
      <c r="Q13" s="8" t="s">
        <v>196</v>
      </c>
      <c r="R13" s="8" t="s">
        <v>102</v>
      </c>
      <c r="S13" s="8" t="s">
        <v>103</v>
      </c>
    </row>
    <row r="14" customFormat="false" ht="35.05" hidden="false" customHeight="false" outlineLevel="0" collapsed="false">
      <c r="A14" s="8" t="s">
        <v>213</v>
      </c>
      <c r="B14" s="8" t="s">
        <v>214</v>
      </c>
      <c r="C14" s="8" t="s">
        <v>139</v>
      </c>
      <c r="D14" s="8" t="s">
        <v>106</v>
      </c>
      <c r="E14" s="8" t="s">
        <v>89</v>
      </c>
      <c r="F14" s="8" t="s">
        <v>215</v>
      </c>
      <c r="G14" s="8" t="s">
        <v>216</v>
      </c>
      <c r="H14" s="8" t="s">
        <v>92</v>
      </c>
      <c r="I14" s="8" t="s">
        <v>129</v>
      </c>
      <c r="J14" s="8" t="s">
        <v>217</v>
      </c>
      <c r="K14" s="8" t="s">
        <v>218</v>
      </c>
      <c r="L14" s="8" t="s">
        <v>96</v>
      </c>
      <c r="M14" s="8" t="s">
        <v>219</v>
      </c>
      <c r="N14" s="8" t="s">
        <v>134</v>
      </c>
      <c r="O14" s="8"/>
      <c r="P14" s="10" t="s">
        <v>122</v>
      </c>
      <c r="Q14" s="8" t="s">
        <v>136</v>
      </c>
      <c r="R14" s="8" t="s">
        <v>102</v>
      </c>
      <c r="S14" s="8" t="s">
        <v>103</v>
      </c>
    </row>
    <row r="15" customFormat="false" ht="35.05" hidden="false" customHeight="false" outlineLevel="0" collapsed="false">
      <c r="A15" s="8" t="s">
        <v>220</v>
      </c>
      <c r="B15" s="8" t="s">
        <v>221</v>
      </c>
      <c r="C15" s="8" t="s">
        <v>139</v>
      </c>
      <c r="D15" s="8"/>
      <c r="E15" s="8" t="s">
        <v>188</v>
      </c>
      <c r="F15" s="8" t="s">
        <v>222</v>
      </c>
      <c r="G15" s="8" t="s">
        <v>223</v>
      </c>
      <c r="H15" s="8" t="s">
        <v>191</v>
      </c>
      <c r="I15" s="8" t="s">
        <v>192</v>
      </c>
      <c r="J15" s="8" t="s">
        <v>224</v>
      </c>
      <c r="K15" s="8" t="s">
        <v>218</v>
      </c>
      <c r="L15" s="8" t="s">
        <v>96</v>
      </c>
      <c r="M15" s="8" t="s">
        <v>225</v>
      </c>
      <c r="N15" s="8"/>
      <c r="O15" s="8"/>
      <c r="P15" s="11" t="s">
        <v>168</v>
      </c>
      <c r="Q15" s="8" t="s">
        <v>169</v>
      </c>
      <c r="R15" s="8" t="s">
        <v>102</v>
      </c>
      <c r="S15" s="8" t="s">
        <v>103</v>
      </c>
    </row>
    <row r="16" customFormat="false" ht="35.05" hidden="false" customHeight="false" outlineLevel="0" collapsed="false">
      <c r="A16" s="8" t="s">
        <v>226</v>
      </c>
      <c r="B16" s="8" t="s">
        <v>227</v>
      </c>
      <c r="C16" s="8" t="s">
        <v>139</v>
      </c>
      <c r="D16" s="8" t="s">
        <v>161</v>
      </c>
      <c r="E16" s="8" t="s">
        <v>89</v>
      </c>
      <c r="F16" s="8" t="s">
        <v>228</v>
      </c>
      <c r="G16" s="8" t="s">
        <v>229</v>
      </c>
      <c r="H16" s="8" t="s">
        <v>92</v>
      </c>
      <c r="I16" s="8" t="s">
        <v>230</v>
      </c>
      <c r="J16" s="8" t="s">
        <v>231</v>
      </c>
      <c r="K16" s="8" t="s">
        <v>232</v>
      </c>
      <c r="L16" s="8" t="s">
        <v>145</v>
      </c>
      <c r="M16" s="8" t="s">
        <v>233</v>
      </c>
      <c r="N16" s="8" t="s">
        <v>134</v>
      </c>
      <c r="O16" s="8"/>
      <c r="P16" s="10" t="s">
        <v>122</v>
      </c>
      <c r="Q16" s="8" t="s">
        <v>234</v>
      </c>
      <c r="R16" s="8" t="s">
        <v>102</v>
      </c>
      <c r="S16" s="8" t="s">
        <v>103</v>
      </c>
    </row>
    <row r="17" customFormat="false" ht="35.05" hidden="false" customHeight="false" outlineLevel="0" collapsed="false">
      <c r="A17" s="8" t="s">
        <v>235</v>
      </c>
      <c r="B17" s="8" t="s">
        <v>236</v>
      </c>
      <c r="C17" s="8" t="s">
        <v>139</v>
      </c>
      <c r="D17" s="8" t="s">
        <v>106</v>
      </c>
      <c r="E17" s="8" t="s">
        <v>89</v>
      </c>
      <c r="F17" s="8" t="s">
        <v>237</v>
      </c>
      <c r="G17" s="8" t="s">
        <v>238</v>
      </c>
      <c r="H17" s="8" t="s">
        <v>92</v>
      </c>
      <c r="I17" s="8" t="s">
        <v>93</v>
      </c>
      <c r="J17" s="8" t="s">
        <v>239</v>
      </c>
      <c r="K17" s="8" t="s">
        <v>240</v>
      </c>
      <c r="L17" s="8" t="s">
        <v>145</v>
      </c>
      <c r="M17" s="8" t="s">
        <v>241</v>
      </c>
      <c r="N17" s="8" t="s">
        <v>242</v>
      </c>
      <c r="O17" s="8"/>
      <c r="P17" s="9" t="s">
        <v>100</v>
      </c>
      <c r="Q17" s="8" t="s">
        <v>123</v>
      </c>
      <c r="R17" s="8" t="s">
        <v>102</v>
      </c>
      <c r="S17" s="8" t="s">
        <v>103</v>
      </c>
    </row>
    <row r="18" customFormat="false" ht="23.85" hidden="false" customHeight="false" outlineLevel="0" collapsed="false">
      <c r="A18" s="8" t="s">
        <v>243</v>
      </c>
      <c r="B18" s="8" t="s">
        <v>244</v>
      </c>
      <c r="C18" s="8" t="s">
        <v>139</v>
      </c>
      <c r="D18" s="8" t="s">
        <v>161</v>
      </c>
      <c r="E18" s="8" t="s">
        <v>89</v>
      </c>
      <c r="F18" s="8" t="s">
        <v>245</v>
      </c>
      <c r="G18" s="8" t="s">
        <v>246</v>
      </c>
      <c r="H18" s="8" t="s">
        <v>92</v>
      </c>
      <c r="I18" s="8" t="s">
        <v>93</v>
      </c>
      <c r="J18" s="8" t="s">
        <v>247</v>
      </c>
      <c r="K18" s="8" t="s">
        <v>248</v>
      </c>
      <c r="L18" s="8" t="s">
        <v>145</v>
      </c>
      <c r="M18" s="8" t="s">
        <v>249</v>
      </c>
      <c r="N18" s="8" t="s">
        <v>250</v>
      </c>
      <c r="O18" s="8"/>
      <c r="P18" s="9" t="s">
        <v>100</v>
      </c>
      <c r="Q18" s="8" t="s">
        <v>251</v>
      </c>
      <c r="R18" s="8" t="s">
        <v>102</v>
      </c>
      <c r="S18" s="8" t="s">
        <v>103</v>
      </c>
    </row>
    <row r="19" customFormat="false" ht="35.05" hidden="false" customHeight="false" outlineLevel="0" collapsed="false">
      <c r="A19" s="8" t="s">
        <v>252</v>
      </c>
      <c r="B19" s="8" t="s">
        <v>253</v>
      </c>
      <c r="C19" s="8" t="s">
        <v>139</v>
      </c>
      <c r="D19" s="8" t="s">
        <v>106</v>
      </c>
      <c r="E19" s="8" t="s">
        <v>89</v>
      </c>
      <c r="F19" s="8" t="s">
        <v>254</v>
      </c>
      <c r="G19" s="8" t="s">
        <v>255</v>
      </c>
      <c r="H19" s="8" t="s">
        <v>92</v>
      </c>
      <c r="I19" s="8" t="s">
        <v>93</v>
      </c>
      <c r="J19" s="8" t="s">
        <v>256</v>
      </c>
      <c r="K19" s="8" t="s">
        <v>257</v>
      </c>
      <c r="L19" s="8" t="s">
        <v>96</v>
      </c>
      <c r="M19" s="8" t="s">
        <v>258</v>
      </c>
      <c r="N19" s="8" t="s">
        <v>259</v>
      </c>
      <c r="O19" s="8"/>
      <c r="P19" s="11" t="s">
        <v>168</v>
      </c>
      <c r="Q19" s="8" t="s">
        <v>169</v>
      </c>
      <c r="R19" s="8" t="s">
        <v>102</v>
      </c>
      <c r="S19" s="8" t="s">
        <v>103</v>
      </c>
    </row>
    <row r="20" customFormat="false" ht="35.05" hidden="false" customHeight="false" outlineLevel="0" collapsed="false">
      <c r="A20" s="8" t="s">
        <v>260</v>
      </c>
      <c r="B20" s="8" t="s">
        <v>261</v>
      </c>
      <c r="C20" s="8" t="s">
        <v>161</v>
      </c>
      <c r="D20" s="8"/>
      <c r="E20" s="8" t="s">
        <v>89</v>
      </c>
      <c r="F20" s="8" t="s">
        <v>262</v>
      </c>
      <c r="G20" s="8" t="s">
        <v>263</v>
      </c>
      <c r="H20" s="8" t="s">
        <v>92</v>
      </c>
      <c r="I20" s="8" t="s">
        <v>129</v>
      </c>
      <c r="J20" s="8" t="s">
        <v>264</v>
      </c>
      <c r="K20" s="8" t="s">
        <v>265</v>
      </c>
      <c r="L20" s="8" t="s">
        <v>132</v>
      </c>
      <c r="M20" s="8" t="s">
        <v>266</v>
      </c>
      <c r="N20" s="8" t="s">
        <v>267</v>
      </c>
      <c r="O20" s="8"/>
      <c r="P20" s="11" t="s">
        <v>168</v>
      </c>
      <c r="Q20" s="8" t="s">
        <v>169</v>
      </c>
      <c r="R20" s="8" t="s">
        <v>102</v>
      </c>
      <c r="S20" s="8" t="s">
        <v>103</v>
      </c>
    </row>
    <row r="21" customFormat="false" ht="35.05" hidden="false" customHeight="false" outlineLevel="0" collapsed="false">
      <c r="A21" s="8" t="s">
        <v>268</v>
      </c>
      <c r="B21" s="8" t="s">
        <v>269</v>
      </c>
      <c r="C21" s="8" t="s">
        <v>161</v>
      </c>
      <c r="D21" s="8" t="s">
        <v>270</v>
      </c>
      <c r="E21" s="8" t="s">
        <v>89</v>
      </c>
      <c r="F21" s="8" t="s">
        <v>271</v>
      </c>
      <c r="G21" s="8" t="s">
        <v>272</v>
      </c>
      <c r="H21" s="8" t="s">
        <v>92</v>
      </c>
      <c r="I21" s="8" t="s">
        <v>93</v>
      </c>
      <c r="J21" s="8" t="s">
        <v>273</v>
      </c>
      <c r="K21" s="8" t="s">
        <v>274</v>
      </c>
      <c r="L21" s="8" t="s">
        <v>132</v>
      </c>
      <c r="M21" s="8" t="s">
        <v>275</v>
      </c>
      <c r="N21" s="8" t="s">
        <v>267</v>
      </c>
      <c r="O21" s="8"/>
      <c r="P21" s="11" t="s">
        <v>168</v>
      </c>
      <c r="Q21" s="8" t="s">
        <v>169</v>
      </c>
      <c r="R21" s="8" t="s">
        <v>102</v>
      </c>
      <c r="S21" s="8" t="s">
        <v>103</v>
      </c>
    </row>
    <row r="22" customFormat="false" ht="35.05" hidden="false" customHeight="false" outlineLevel="0" collapsed="false">
      <c r="A22" s="8" t="s">
        <v>276</v>
      </c>
      <c r="B22" s="8" t="s">
        <v>277</v>
      </c>
      <c r="C22" s="8" t="s">
        <v>161</v>
      </c>
      <c r="D22" s="8" t="s">
        <v>270</v>
      </c>
      <c r="E22" s="8" t="s">
        <v>127</v>
      </c>
      <c r="F22" s="8" t="s">
        <v>278</v>
      </c>
      <c r="G22" s="8" t="s">
        <v>277</v>
      </c>
      <c r="H22" s="8" t="s">
        <v>191</v>
      </c>
      <c r="I22" s="8" t="s">
        <v>192</v>
      </c>
      <c r="J22" s="8" t="s">
        <v>279</v>
      </c>
      <c r="K22" s="8" t="s">
        <v>280</v>
      </c>
      <c r="L22" s="8" t="s">
        <v>281</v>
      </c>
      <c r="M22" s="8" t="s">
        <v>282</v>
      </c>
      <c r="N22" s="8"/>
      <c r="O22" s="8" t="s">
        <v>283</v>
      </c>
      <c r="P22" s="11" t="s">
        <v>168</v>
      </c>
      <c r="Q22" s="8" t="s">
        <v>169</v>
      </c>
      <c r="R22" s="8" t="s">
        <v>102</v>
      </c>
      <c r="S22" s="8" t="s">
        <v>103</v>
      </c>
    </row>
    <row r="23" customFormat="false" ht="35.05" hidden="false" customHeight="false" outlineLevel="0" collapsed="false">
      <c r="A23" s="8" t="s">
        <v>284</v>
      </c>
      <c r="B23" s="8" t="s">
        <v>285</v>
      </c>
      <c r="C23" s="8" t="s">
        <v>161</v>
      </c>
      <c r="D23" s="8" t="s">
        <v>139</v>
      </c>
      <c r="E23" s="8" t="s">
        <v>89</v>
      </c>
      <c r="F23" s="8" t="s">
        <v>286</v>
      </c>
      <c r="G23" s="8" t="s">
        <v>287</v>
      </c>
      <c r="H23" s="8" t="s">
        <v>92</v>
      </c>
      <c r="I23" s="8" t="s">
        <v>93</v>
      </c>
      <c r="J23" s="8" t="s">
        <v>288</v>
      </c>
      <c r="K23" s="8" t="s">
        <v>289</v>
      </c>
      <c r="L23" s="8" t="s">
        <v>281</v>
      </c>
      <c r="M23" s="8" t="s">
        <v>290</v>
      </c>
      <c r="N23" s="8" t="s">
        <v>291</v>
      </c>
      <c r="O23" s="8"/>
      <c r="P23" s="11" t="s">
        <v>168</v>
      </c>
      <c r="Q23" s="8" t="s">
        <v>169</v>
      </c>
      <c r="R23" s="8" t="s">
        <v>102</v>
      </c>
      <c r="S23" s="8" t="s">
        <v>103</v>
      </c>
    </row>
    <row r="24" customFormat="false" ht="35.05" hidden="false" customHeight="false" outlineLevel="0" collapsed="false">
      <c r="A24" s="8" t="s">
        <v>292</v>
      </c>
      <c r="B24" s="8" t="s">
        <v>293</v>
      </c>
      <c r="C24" s="8" t="s">
        <v>126</v>
      </c>
      <c r="D24" s="8" t="s">
        <v>161</v>
      </c>
      <c r="E24" s="8" t="s">
        <v>89</v>
      </c>
      <c r="F24" s="8" t="s">
        <v>286</v>
      </c>
      <c r="G24" s="8" t="s">
        <v>287</v>
      </c>
      <c r="H24" s="8" t="s">
        <v>92</v>
      </c>
      <c r="I24" s="8" t="s">
        <v>129</v>
      </c>
      <c r="J24" s="8" t="s">
        <v>294</v>
      </c>
      <c r="K24" s="8" t="s">
        <v>295</v>
      </c>
      <c r="L24" s="8" t="s">
        <v>132</v>
      </c>
      <c r="M24" s="8" t="s">
        <v>296</v>
      </c>
      <c r="N24" s="8" t="s">
        <v>297</v>
      </c>
      <c r="O24" s="8"/>
      <c r="P24" s="11" t="s">
        <v>168</v>
      </c>
      <c r="Q24" s="8" t="s">
        <v>169</v>
      </c>
      <c r="R24" s="8" t="s">
        <v>102</v>
      </c>
      <c r="S24" s="8" t="s">
        <v>103</v>
      </c>
    </row>
    <row r="25" customFormat="false" ht="35.05" hidden="false" customHeight="false" outlineLevel="0" collapsed="false">
      <c r="A25" s="8" t="s">
        <v>298</v>
      </c>
      <c r="B25" s="8" t="s">
        <v>299</v>
      </c>
      <c r="C25" s="8" t="s">
        <v>126</v>
      </c>
      <c r="D25" s="8"/>
      <c r="E25" s="8" t="s">
        <v>127</v>
      </c>
      <c r="F25" s="8" t="s">
        <v>300</v>
      </c>
      <c r="G25" s="8" t="s">
        <v>301</v>
      </c>
      <c r="H25" s="8" t="s">
        <v>92</v>
      </c>
      <c r="I25" s="8" t="s">
        <v>302</v>
      </c>
      <c r="J25" s="8" t="s">
        <v>303</v>
      </c>
      <c r="K25" s="8" t="s">
        <v>304</v>
      </c>
      <c r="L25" s="8" t="s">
        <v>132</v>
      </c>
      <c r="M25" s="8" t="s">
        <v>305</v>
      </c>
      <c r="N25" s="8"/>
      <c r="O25" s="8" t="s">
        <v>306</v>
      </c>
      <c r="P25" s="11" t="s">
        <v>168</v>
      </c>
      <c r="Q25" s="8" t="s">
        <v>169</v>
      </c>
      <c r="R25" s="8" t="s">
        <v>102</v>
      </c>
      <c r="S25" s="8" t="s">
        <v>103</v>
      </c>
    </row>
    <row r="26" customFormat="false" ht="35.05" hidden="false" customHeight="false" outlineLevel="0" collapsed="false">
      <c r="A26" s="8" t="s">
        <v>307</v>
      </c>
      <c r="B26" s="8" t="s">
        <v>308</v>
      </c>
      <c r="C26" s="8" t="s">
        <v>161</v>
      </c>
      <c r="D26" s="8" t="s">
        <v>270</v>
      </c>
      <c r="E26" s="8" t="s">
        <v>89</v>
      </c>
      <c r="F26" s="8" t="s">
        <v>309</v>
      </c>
      <c r="G26" s="8" t="s">
        <v>310</v>
      </c>
      <c r="H26" s="8" t="s">
        <v>92</v>
      </c>
      <c r="I26" s="8" t="s">
        <v>93</v>
      </c>
      <c r="J26" s="8" t="s">
        <v>311</v>
      </c>
      <c r="K26" s="8" t="s">
        <v>218</v>
      </c>
      <c r="L26" s="8" t="s">
        <v>145</v>
      </c>
      <c r="M26" s="8" t="s">
        <v>312</v>
      </c>
      <c r="N26" s="8" t="s">
        <v>313</v>
      </c>
      <c r="O26" s="8"/>
      <c r="P26" s="9" t="s">
        <v>100</v>
      </c>
      <c r="Q26" s="8" t="s">
        <v>101</v>
      </c>
      <c r="R26" s="8" t="s">
        <v>102</v>
      </c>
      <c r="S26" s="8" t="s">
        <v>103</v>
      </c>
    </row>
    <row r="27" customFormat="false" ht="23.85" hidden="false" customHeight="false" outlineLevel="0" collapsed="false">
      <c r="A27" s="8" t="s">
        <v>314</v>
      </c>
      <c r="B27" s="8" t="s">
        <v>315</v>
      </c>
      <c r="C27" s="8" t="s">
        <v>270</v>
      </c>
      <c r="D27" s="8"/>
      <c r="E27" s="8" t="s">
        <v>89</v>
      </c>
      <c r="F27" s="8" t="s">
        <v>316</v>
      </c>
      <c r="G27" s="8" t="s">
        <v>317</v>
      </c>
      <c r="H27" s="8" t="s">
        <v>92</v>
      </c>
      <c r="I27" s="8" t="s">
        <v>93</v>
      </c>
      <c r="J27" s="8" t="s">
        <v>318</v>
      </c>
      <c r="K27" s="8" t="s">
        <v>319</v>
      </c>
      <c r="L27" s="8" t="s">
        <v>320</v>
      </c>
      <c r="M27" s="8" t="s">
        <v>321</v>
      </c>
      <c r="N27" s="8" t="s">
        <v>322</v>
      </c>
      <c r="O27" s="8"/>
      <c r="P27" s="10" t="s">
        <v>122</v>
      </c>
      <c r="Q27" s="8" t="s">
        <v>158</v>
      </c>
      <c r="R27" s="8" t="s">
        <v>102</v>
      </c>
      <c r="S27" s="8" t="s">
        <v>103</v>
      </c>
    </row>
    <row r="28" customFormat="false" ht="23.85" hidden="false" customHeight="false" outlineLevel="0" collapsed="false">
      <c r="A28" s="8" t="s">
        <v>323</v>
      </c>
      <c r="B28" s="8" t="s">
        <v>324</v>
      </c>
      <c r="C28" s="8" t="s">
        <v>270</v>
      </c>
      <c r="D28" s="8"/>
      <c r="E28" s="8" t="s">
        <v>89</v>
      </c>
      <c r="F28" s="8" t="s">
        <v>325</v>
      </c>
      <c r="G28" s="8" t="s">
        <v>326</v>
      </c>
      <c r="H28" s="8" t="s">
        <v>92</v>
      </c>
      <c r="I28" s="8" t="s">
        <v>93</v>
      </c>
      <c r="J28" s="8" t="s">
        <v>327</v>
      </c>
      <c r="K28" s="8" t="s">
        <v>328</v>
      </c>
      <c r="L28" s="8" t="s">
        <v>320</v>
      </c>
      <c r="M28" s="8" t="s">
        <v>329</v>
      </c>
      <c r="N28" s="8" t="s">
        <v>330</v>
      </c>
      <c r="O28" s="8"/>
      <c r="P28" s="9" t="s">
        <v>100</v>
      </c>
      <c r="Q28" s="8" t="s">
        <v>158</v>
      </c>
      <c r="R28" s="8" t="s">
        <v>102</v>
      </c>
      <c r="S28" s="8" t="s">
        <v>103</v>
      </c>
    </row>
    <row r="29" customFormat="false" ht="23.85" hidden="false" customHeight="false" outlineLevel="0" collapsed="false">
      <c r="A29" s="8" t="s">
        <v>331</v>
      </c>
      <c r="B29" s="8" t="s">
        <v>332</v>
      </c>
      <c r="C29" s="8" t="s">
        <v>270</v>
      </c>
      <c r="D29" s="8"/>
      <c r="E29" s="8" t="s">
        <v>89</v>
      </c>
      <c r="F29" s="8" t="s">
        <v>333</v>
      </c>
      <c r="G29" s="8" t="s">
        <v>334</v>
      </c>
      <c r="H29" s="8" t="s">
        <v>92</v>
      </c>
      <c r="I29" s="8" t="s">
        <v>93</v>
      </c>
      <c r="J29" s="8" t="s">
        <v>335</v>
      </c>
      <c r="K29" s="8" t="s">
        <v>336</v>
      </c>
      <c r="L29" s="8" t="s">
        <v>320</v>
      </c>
      <c r="M29" s="8" t="s">
        <v>337</v>
      </c>
      <c r="N29" s="8" t="s">
        <v>338</v>
      </c>
      <c r="O29" s="8"/>
      <c r="P29" s="10" t="s">
        <v>122</v>
      </c>
      <c r="Q29" s="8" t="s">
        <v>158</v>
      </c>
      <c r="R29" s="8" t="s">
        <v>102</v>
      </c>
      <c r="S29" s="8" t="s">
        <v>103</v>
      </c>
    </row>
    <row r="30" customFormat="false" ht="23.85" hidden="false" customHeight="false" outlineLevel="0" collapsed="false">
      <c r="A30" s="8" t="s">
        <v>339</v>
      </c>
      <c r="B30" s="8" t="s">
        <v>340</v>
      </c>
      <c r="C30" s="8" t="s">
        <v>270</v>
      </c>
      <c r="D30" s="8" t="s">
        <v>161</v>
      </c>
      <c r="E30" s="8" t="s">
        <v>89</v>
      </c>
      <c r="F30" s="8" t="s">
        <v>341</v>
      </c>
      <c r="G30" s="8" t="s">
        <v>342</v>
      </c>
      <c r="H30" s="8" t="s">
        <v>92</v>
      </c>
      <c r="I30" s="8" t="s">
        <v>93</v>
      </c>
      <c r="J30" s="8" t="s">
        <v>343</v>
      </c>
      <c r="K30" s="8" t="s">
        <v>203</v>
      </c>
      <c r="L30" s="8" t="s">
        <v>281</v>
      </c>
      <c r="M30" s="8" t="s">
        <v>344</v>
      </c>
      <c r="N30" s="8" t="s">
        <v>345</v>
      </c>
      <c r="O30" s="8"/>
      <c r="P30" s="10" t="s">
        <v>122</v>
      </c>
      <c r="Q30" s="8" t="s">
        <v>196</v>
      </c>
      <c r="R30" s="8" t="s">
        <v>102</v>
      </c>
      <c r="S30" s="8" t="s">
        <v>103</v>
      </c>
    </row>
    <row r="31" customFormat="false" ht="35.05" hidden="false" customHeight="false" outlineLevel="0" collapsed="false">
      <c r="A31" s="8" t="s">
        <v>346</v>
      </c>
      <c r="B31" s="8" t="s">
        <v>347</v>
      </c>
      <c r="C31" s="8" t="s">
        <v>270</v>
      </c>
      <c r="D31" s="8"/>
      <c r="E31" s="8" t="s">
        <v>188</v>
      </c>
      <c r="F31" s="8" t="s">
        <v>348</v>
      </c>
      <c r="G31" s="8" t="s">
        <v>347</v>
      </c>
      <c r="H31" s="8" t="s">
        <v>349</v>
      </c>
      <c r="I31" s="8" t="s">
        <v>350</v>
      </c>
      <c r="J31" s="8" t="s">
        <v>351</v>
      </c>
      <c r="K31" s="8" t="s">
        <v>218</v>
      </c>
      <c r="L31" s="8" t="s">
        <v>320</v>
      </c>
      <c r="M31" s="8" t="s">
        <v>352</v>
      </c>
      <c r="N31" s="8"/>
      <c r="O31" s="8"/>
      <c r="P31" s="11" t="s">
        <v>168</v>
      </c>
      <c r="Q31" s="8" t="s">
        <v>169</v>
      </c>
      <c r="R31" s="8" t="s">
        <v>102</v>
      </c>
      <c r="S31" s="8" t="s">
        <v>103</v>
      </c>
    </row>
    <row r="32" customFormat="false" ht="35.05" hidden="false" customHeight="false" outlineLevel="0" collapsed="false">
      <c r="A32" s="8" t="s">
        <v>353</v>
      </c>
      <c r="B32" s="8" t="s">
        <v>354</v>
      </c>
      <c r="C32" s="8" t="s">
        <v>270</v>
      </c>
      <c r="D32" s="8" t="s">
        <v>106</v>
      </c>
      <c r="E32" s="8" t="s">
        <v>188</v>
      </c>
      <c r="F32" s="8" t="s">
        <v>355</v>
      </c>
      <c r="G32" s="8" t="s">
        <v>356</v>
      </c>
      <c r="H32" s="8" t="s">
        <v>349</v>
      </c>
      <c r="I32" s="8" t="s">
        <v>357</v>
      </c>
      <c r="J32" s="8" t="s">
        <v>358</v>
      </c>
      <c r="K32" s="8" t="s">
        <v>274</v>
      </c>
      <c r="L32" s="8" t="s">
        <v>281</v>
      </c>
      <c r="M32" s="8" t="s">
        <v>359</v>
      </c>
      <c r="N32" s="8"/>
      <c r="O32" s="8"/>
      <c r="P32" s="11" t="s">
        <v>168</v>
      </c>
      <c r="Q32" s="8" t="s">
        <v>169</v>
      </c>
      <c r="R32" s="8" t="s">
        <v>102</v>
      </c>
      <c r="S32" s="8" t="s">
        <v>103</v>
      </c>
    </row>
    <row r="33" customFormat="false" ht="35.05" hidden="false" customHeight="false" outlineLevel="0" collapsed="false">
      <c r="A33" s="8" t="s">
        <v>360</v>
      </c>
      <c r="B33" s="8" t="s">
        <v>361</v>
      </c>
      <c r="C33" s="8" t="s">
        <v>270</v>
      </c>
      <c r="D33" s="8"/>
      <c r="E33" s="8" t="s">
        <v>188</v>
      </c>
      <c r="F33" s="8" t="s">
        <v>362</v>
      </c>
      <c r="G33" s="8" t="s">
        <v>363</v>
      </c>
      <c r="H33" s="8" t="s">
        <v>364</v>
      </c>
      <c r="I33" s="8" t="s">
        <v>365</v>
      </c>
      <c r="J33" s="8" t="s">
        <v>366</v>
      </c>
      <c r="K33" s="8" t="s">
        <v>367</v>
      </c>
      <c r="L33" s="8" t="s">
        <v>320</v>
      </c>
      <c r="M33" s="8" t="s">
        <v>368</v>
      </c>
      <c r="N33" s="8"/>
      <c r="O33" s="8"/>
      <c r="P33" s="11" t="s">
        <v>168</v>
      </c>
      <c r="Q33" s="8" t="s">
        <v>169</v>
      </c>
      <c r="R33" s="8" t="s">
        <v>102</v>
      </c>
      <c r="S33" s="8" t="s">
        <v>103</v>
      </c>
    </row>
    <row r="34" customFormat="false" ht="35.05" hidden="false" customHeight="false" outlineLevel="0" collapsed="false">
      <c r="A34" s="8" t="s">
        <v>369</v>
      </c>
      <c r="B34" s="8" t="s">
        <v>370</v>
      </c>
      <c r="C34" s="8" t="s">
        <v>270</v>
      </c>
      <c r="D34" s="8"/>
      <c r="E34" s="8" t="s">
        <v>127</v>
      </c>
      <c r="F34" s="8" t="s">
        <v>371</v>
      </c>
      <c r="G34" s="8" t="s">
        <v>372</v>
      </c>
      <c r="H34" s="8" t="s">
        <v>364</v>
      </c>
      <c r="I34" s="8" t="s">
        <v>373</v>
      </c>
      <c r="J34" s="8" t="s">
        <v>374</v>
      </c>
      <c r="K34" s="8" t="s">
        <v>375</v>
      </c>
      <c r="L34" s="8" t="s">
        <v>320</v>
      </c>
      <c r="M34" s="8" t="s">
        <v>376</v>
      </c>
      <c r="N34" s="8"/>
      <c r="O34" s="8" t="s">
        <v>377</v>
      </c>
      <c r="P34" s="11" t="s">
        <v>168</v>
      </c>
      <c r="Q34" s="8" t="s">
        <v>169</v>
      </c>
      <c r="R34" s="8" t="s">
        <v>102</v>
      </c>
      <c r="S34" s="8" t="s">
        <v>103</v>
      </c>
    </row>
    <row r="35" customFormat="false" ht="35.05" hidden="false" customHeight="false" outlineLevel="0" collapsed="false">
      <c r="A35" s="8" t="s">
        <v>378</v>
      </c>
      <c r="B35" s="8" t="s">
        <v>379</v>
      </c>
      <c r="C35" s="8" t="s">
        <v>270</v>
      </c>
      <c r="D35" s="8"/>
      <c r="E35" s="8" t="s">
        <v>188</v>
      </c>
      <c r="F35" s="8" t="s">
        <v>380</v>
      </c>
      <c r="G35" s="8" t="s">
        <v>381</v>
      </c>
      <c r="H35" s="8" t="s">
        <v>364</v>
      </c>
      <c r="I35" s="8" t="s">
        <v>365</v>
      </c>
      <c r="J35" s="8" t="s">
        <v>382</v>
      </c>
      <c r="K35" s="8" t="s">
        <v>383</v>
      </c>
      <c r="L35" s="8" t="s">
        <v>320</v>
      </c>
      <c r="M35" s="8" t="s">
        <v>384</v>
      </c>
      <c r="N35" s="8"/>
      <c r="O35" s="8"/>
      <c r="P35" s="11" t="s">
        <v>168</v>
      </c>
      <c r="Q35" s="8" t="s">
        <v>169</v>
      </c>
      <c r="R35" s="8" t="s">
        <v>102</v>
      </c>
      <c r="S35" s="8" t="s">
        <v>103</v>
      </c>
    </row>
    <row r="36" customFormat="false" ht="23.85" hidden="false" customHeight="false" outlineLevel="0" collapsed="false">
      <c r="A36" s="8" t="s">
        <v>385</v>
      </c>
      <c r="B36" s="8" t="s">
        <v>386</v>
      </c>
      <c r="C36" s="8" t="s">
        <v>139</v>
      </c>
      <c r="D36" s="8" t="s">
        <v>161</v>
      </c>
      <c r="E36" s="8" t="s">
        <v>188</v>
      </c>
      <c r="F36" s="8" t="s">
        <v>387</v>
      </c>
      <c r="G36" s="8" t="s">
        <v>386</v>
      </c>
      <c r="H36" s="8" t="s">
        <v>349</v>
      </c>
      <c r="I36" s="8" t="s">
        <v>388</v>
      </c>
      <c r="J36" s="8" t="s">
        <v>389</v>
      </c>
      <c r="K36" s="8" t="s">
        <v>248</v>
      </c>
      <c r="L36" s="8" t="s">
        <v>145</v>
      </c>
      <c r="M36" s="8" t="s">
        <v>390</v>
      </c>
      <c r="N36" s="8"/>
      <c r="O36" s="8"/>
      <c r="P36" s="10" t="s">
        <v>122</v>
      </c>
      <c r="Q36" s="8" t="s">
        <v>101</v>
      </c>
      <c r="R36" s="8" t="s">
        <v>102</v>
      </c>
      <c r="S36" s="8" t="s">
        <v>103</v>
      </c>
    </row>
    <row r="37" customFormat="false" ht="35.05" hidden="false" customHeight="false" outlineLevel="0" collapsed="false">
      <c r="A37" s="8" t="s">
        <v>391</v>
      </c>
      <c r="B37" s="8" t="s">
        <v>392</v>
      </c>
      <c r="C37" s="8" t="s">
        <v>270</v>
      </c>
      <c r="D37" s="8"/>
      <c r="E37" s="8" t="s">
        <v>127</v>
      </c>
      <c r="F37" s="8" t="s">
        <v>393</v>
      </c>
      <c r="G37" s="8" t="s">
        <v>394</v>
      </c>
      <c r="H37" s="8" t="s">
        <v>191</v>
      </c>
      <c r="I37" s="8" t="s">
        <v>201</v>
      </c>
      <c r="J37" s="8" t="s">
        <v>395</v>
      </c>
      <c r="K37" s="8" t="s">
        <v>396</v>
      </c>
      <c r="L37" s="8" t="s">
        <v>145</v>
      </c>
      <c r="M37" s="8" t="s">
        <v>397</v>
      </c>
      <c r="N37" s="8"/>
      <c r="O37" s="8" t="s">
        <v>398</v>
      </c>
      <c r="P37" s="11" t="s">
        <v>168</v>
      </c>
      <c r="Q37" s="8" t="s">
        <v>169</v>
      </c>
      <c r="R37" s="8" t="s">
        <v>102</v>
      </c>
      <c r="S37" s="8" t="s">
        <v>103</v>
      </c>
    </row>
    <row r="38" customFormat="false" ht="35.05" hidden="false" customHeight="false" outlineLevel="0" collapsed="false">
      <c r="A38" s="8" t="s">
        <v>399</v>
      </c>
      <c r="B38" s="8" t="s">
        <v>400</v>
      </c>
      <c r="C38" s="8" t="s">
        <v>106</v>
      </c>
      <c r="D38" s="8" t="s">
        <v>88</v>
      </c>
      <c r="E38" s="8" t="s">
        <v>89</v>
      </c>
      <c r="F38" s="8" t="s">
        <v>401</v>
      </c>
      <c r="G38" s="8" t="s">
        <v>402</v>
      </c>
      <c r="H38" s="8" t="s">
        <v>92</v>
      </c>
      <c r="I38" s="8" t="s">
        <v>93</v>
      </c>
      <c r="J38" s="8" t="s">
        <v>403</v>
      </c>
      <c r="K38" s="8" t="s">
        <v>404</v>
      </c>
      <c r="L38" s="8" t="s">
        <v>176</v>
      </c>
      <c r="M38" s="8" t="s">
        <v>185</v>
      </c>
      <c r="N38" s="8" t="s">
        <v>405</v>
      </c>
      <c r="O38" s="8"/>
      <c r="P38" s="10" t="s">
        <v>122</v>
      </c>
      <c r="Q38" s="8" t="s">
        <v>158</v>
      </c>
      <c r="R38" s="8" t="s">
        <v>102</v>
      </c>
      <c r="S38" s="8" t="s">
        <v>103</v>
      </c>
    </row>
    <row r="39" customFormat="false" ht="35.05" hidden="false" customHeight="false" outlineLevel="0" collapsed="false">
      <c r="A39" s="8" t="s">
        <v>406</v>
      </c>
      <c r="B39" s="8" t="s">
        <v>407</v>
      </c>
      <c r="C39" s="8" t="s">
        <v>106</v>
      </c>
      <c r="D39" s="8"/>
      <c r="E39" s="8" t="s">
        <v>89</v>
      </c>
      <c r="F39" s="8" t="s">
        <v>408</v>
      </c>
      <c r="G39" s="8" t="s">
        <v>409</v>
      </c>
      <c r="H39" s="8" t="s">
        <v>92</v>
      </c>
      <c r="I39" s="8" t="s">
        <v>93</v>
      </c>
      <c r="J39" s="8" t="s">
        <v>410</v>
      </c>
      <c r="K39" s="8" t="s">
        <v>411</v>
      </c>
      <c r="L39" s="8" t="s">
        <v>176</v>
      </c>
      <c r="M39" s="8" t="s">
        <v>412</v>
      </c>
      <c r="N39" s="8"/>
      <c r="O39" s="8"/>
      <c r="P39" s="11" t="s">
        <v>168</v>
      </c>
      <c r="Q39" s="8" t="s">
        <v>169</v>
      </c>
      <c r="R39" s="8" t="s">
        <v>102</v>
      </c>
      <c r="S39" s="8" t="s">
        <v>103</v>
      </c>
    </row>
    <row r="40" customFormat="false" ht="23.85" hidden="false" customHeight="false" outlineLevel="0" collapsed="false">
      <c r="A40" s="8" t="s">
        <v>413</v>
      </c>
      <c r="B40" s="8" t="s">
        <v>414</v>
      </c>
      <c r="C40" s="8" t="s">
        <v>88</v>
      </c>
      <c r="D40" s="8" t="s">
        <v>139</v>
      </c>
      <c r="E40" s="8" t="s">
        <v>127</v>
      </c>
      <c r="F40" s="8" t="s">
        <v>415</v>
      </c>
      <c r="G40" s="8" t="s">
        <v>414</v>
      </c>
      <c r="H40" s="8" t="s">
        <v>92</v>
      </c>
      <c r="I40" s="8" t="s">
        <v>416</v>
      </c>
      <c r="J40" s="8" t="s">
        <v>417</v>
      </c>
      <c r="K40" s="8" t="s">
        <v>418</v>
      </c>
      <c r="L40" s="8" t="s">
        <v>96</v>
      </c>
      <c r="M40" s="8" t="s">
        <v>419</v>
      </c>
      <c r="N40" s="8" t="s">
        <v>134</v>
      </c>
      <c r="O40" s="8" t="s">
        <v>420</v>
      </c>
      <c r="P40" s="10" t="s">
        <v>122</v>
      </c>
      <c r="Q40" s="8" t="s">
        <v>421</v>
      </c>
      <c r="R40" s="8" t="s">
        <v>102</v>
      </c>
      <c r="S40" s="8" t="s">
        <v>103</v>
      </c>
    </row>
  </sheetData>
  <autoFilter ref="A1:S40"/>
  <dataValidations count="2">
    <dataValidation allowBlank="false" errorStyle="stop" operator="between" showDropDown="false" showErrorMessage="false" showInputMessage="false" sqref="P2:P90" type="list">
      <formula1>"Alta,Media,Baja"</formula1>
      <formula2>0</formula2>
    </dataValidation>
    <dataValidation allowBlank="false" errorStyle="stop" operator="between" showDropDown="false" showErrorMessage="false" showInputMessage="false" sqref="R2:R90" type="list">
      <formula1>"Vigente,Baja"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70"/>
    <col collapsed="false" customWidth="true" hidden="false" outlineLevel="0" max="5" min="5" style="0" width="30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422</v>
      </c>
    </row>
    <row r="2" customFormat="false" ht="15" hidden="false" customHeight="false" outlineLevel="0" collapsed="false">
      <c r="A2" s="2" t="s">
        <v>423</v>
      </c>
    </row>
    <row r="4" customFormat="false" ht="15" hidden="false" customHeight="false" outlineLevel="0" collapsed="false">
      <c r="A4" s="7" t="s">
        <v>68</v>
      </c>
      <c r="B4" s="7" t="s">
        <v>424</v>
      </c>
      <c r="C4" s="7" t="s">
        <v>425</v>
      </c>
      <c r="D4" s="7" t="s">
        <v>426</v>
      </c>
      <c r="E4" s="7" t="s">
        <v>427</v>
      </c>
      <c r="F4" s="7" t="s">
        <v>428</v>
      </c>
    </row>
    <row r="5" customFormat="false" ht="57.45" hidden="false" customHeight="false" outlineLevel="0" collapsed="false">
      <c r="A5" s="8" t="s">
        <v>196</v>
      </c>
      <c r="B5" s="8" t="s">
        <v>429</v>
      </c>
      <c r="C5" s="8" t="s">
        <v>430</v>
      </c>
      <c r="D5" s="8" t="s">
        <v>431</v>
      </c>
      <c r="E5" s="8" t="s">
        <v>432</v>
      </c>
      <c r="F5" s="8" t="s">
        <v>433</v>
      </c>
    </row>
    <row r="6" customFormat="false" ht="35.05" hidden="false" customHeight="false" outlineLevel="0" collapsed="false">
      <c r="A6" s="8" t="s">
        <v>136</v>
      </c>
      <c r="B6" s="8" t="s">
        <v>434</v>
      </c>
      <c r="C6" s="8" t="s">
        <v>435</v>
      </c>
      <c r="D6" s="8" t="s">
        <v>436</v>
      </c>
      <c r="E6" s="8" t="s">
        <v>437</v>
      </c>
      <c r="F6" s="8" t="s">
        <v>438</v>
      </c>
    </row>
    <row r="7" customFormat="false" ht="46.25" hidden="false" customHeight="false" outlineLevel="0" collapsed="false">
      <c r="A7" s="8" t="s">
        <v>158</v>
      </c>
      <c r="B7" s="8" t="s">
        <v>439</v>
      </c>
      <c r="C7" s="8" t="s">
        <v>440</v>
      </c>
      <c r="D7" s="8" t="s">
        <v>441</v>
      </c>
      <c r="E7" s="8" t="s">
        <v>442</v>
      </c>
      <c r="F7" s="8" t="s">
        <v>443</v>
      </c>
    </row>
    <row r="8" customFormat="false" ht="46.25" hidden="false" customHeight="false" outlineLevel="0" collapsed="false">
      <c r="A8" s="8" t="s">
        <v>421</v>
      </c>
      <c r="B8" s="8" t="s">
        <v>444</v>
      </c>
      <c r="C8" s="8" t="s">
        <v>445</v>
      </c>
      <c r="D8" s="8" t="s">
        <v>446</v>
      </c>
      <c r="E8" s="8" t="s">
        <v>447</v>
      </c>
      <c r="F8" s="8" t="s">
        <v>448</v>
      </c>
    </row>
    <row r="11" customFormat="false" ht="15" hidden="false" customHeight="false" outlineLevel="0" collapsed="false">
      <c r="A11" s="3" t="s">
        <v>449</v>
      </c>
    </row>
    <row r="12" customFormat="false" ht="57.45" hidden="false" customHeight="false" outlineLevel="0" collapsed="false">
      <c r="A12" s="8" t="s">
        <v>100</v>
      </c>
      <c r="B12" s="8" t="s">
        <v>450</v>
      </c>
    </row>
    <row r="13" customFormat="false" ht="35.05" hidden="false" customHeight="false" outlineLevel="0" collapsed="false">
      <c r="A13" s="8" t="s">
        <v>122</v>
      </c>
      <c r="B13" s="8" t="s">
        <v>451</v>
      </c>
    </row>
    <row r="14" customFormat="false" ht="57.45" hidden="false" customHeight="false" outlineLevel="0" collapsed="false">
      <c r="A14" s="8" t="s">
        <v>168</v>
      </c>
      <c r="B14" s="8" t="s">
        <v>452</v>
      </c>
    </row>
    <row r="16" customFormat="false" ht="30" hidden="false" customHeight="true" outlineLevel="0" collapsed="false">
      <c r="A16" s="12" t="s">
        <v>453</v>
      </c>
      <c r="B16" s="12"/>
      <c r="C16" s="12"/>
      <c r="D16" s="12"/>
      <c r="E16" s="12"/>
      <c r="F16" s="12"/>
    </row>
  </sheetData>
  <mergeCells count="1"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36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10" min="8" style="0" width="12"/>
    <col collapsed="false" customWidth="true" hidden="false" outlineLevel="0" max="11" min="11" style="0" width="9"/>
    <col collapsed="false" customWidth="true" hidden="false" outlineLevel="0" max="13" min="12" style="0" width="11"/>
    <col collapsed="false" customWidth="true" hidden="false" outlineLevel="0" max="14" min="14" style="0" width="60"/>
  </cols>
  <sheetData>
    <row r="1" customFormat="false" ht="17.35" hidden="false" customHeight="false" outlineLevel="0" collapsed="false">
      <c r="A1" s="1" t="s">
        <v>454</v>
      </c>
    </row>
    <row r="2" customFormat="false" ht="15" hidden="false" customHeight="false" outlineLevel="0" collapsed="false">
      <c r="A2" s="2" t="s">
        <v>455</v>
      </c>
    </row>
    <row r="4" customFormat="false" ht="46.25" hidden="false" customHeight="false" outlineLevel="0" collapsed="false">
      <c r="A4" s="7" t="s">
        <v>456</v>
      </c>
      <c r="B4" s="7" t="s">
        <v>457</v>
      </c>
      <c r="C4" s="7" t="s">
        <v>458</v>
      </c>
      <c r="D4" s="7" t="s">
        <v>459</v>
      </c>
      <c r="E4" s="7" t="s">
        <v>460</v>
      </c>
      <c r="F4" s="7" t="s">
        <v>461</v>
      </c>
      <c r="G4" s="7" t="s">
        <v>462</v>
      </c>
      <c r="H4" s="7" t="s">
        <v>463</v>
      </c>
      <c r="I4" s="7" t="s">
        <v>464</v>
      </c>
      <c r="J4" s="7" t="s">
        <v>465</v>
      </c>
      <c r="K4" s="7" t="s">
        <v>466</v>
      </c>
      <c r="L4" s="7" t="s">
        <v>467</v>
      </c>
      <c r="M4" s="7" t="s">
        <v>468</v>
      </c>
      <c r="N4" s="7" t="s">
        <v>469</v>
      </c>
    </row>
    <row r="5" customFormat="false" ht="23.85" hidden="false" customHeight="false" outlineLevel="0" collapsed="false">
      <c r="A5" s="13" t="s">
        <v>470</v>
      </c>
      <c r="B5" s="13" t="s">
        <v>471</v>
      </c>
      <c r="C5" s="13" t="s">
        <v>472</v>
      </c>
      <c r="D5" s="13" t="s">
        <v>86</v>
      </c>
      <c r="E5" s="8" t="str">
        <f aca="false">IF($D5="","",IFERROR(INDEX(Catálogo!$B$2:$B$200,MATCH($D5,Catálogo!$A$2:$A$200,0)),"ID no existe"))</f>
        <v>Suplantación de un solicitante autorizado mediante ingeniería social</v>
      </c>
      <c r="F5" s="8" t="str">
        <f aca="false">IF($D5="","",IFERROR(INDEX(Catálogo!$C$2:$C$200,MATCH($D5,Catálogo!$A$2:$A$200,0)),""))</f>
        <v>Spoofing</v>
      </c>
      <c r="G5" s="8" t="str">
        <f aca="false">IF($D5="","",IFERROR(INDEX(Catálogo!$P$2:$P$200,MATCH($D5,Catálogo!$A$2:$A$200,0)),""))</f>
        <v>Alta</v>
      </c>
      <c r="H5" s="13" t="s">
        <v>473</v>
      </c>
      <c r="I5" s="13" t="s">
        <v>473</v>
      </c>
      <c r="J5" s="13" t="s">
        <v>473</v>
      </c>
      <c r="K5" s="8" t="n">
        <f aca="false">IF($G5="","",IF($G5="Alta",3,IF($G5="Media",2,1))*10+COUNTIF($H5:$J5,"Sí"))</f>
        <v>33</v>
      </c>
      <c r="L5" s="8" t="n">
        <f aca="false">IF($K5="","",COUNTIFS($B$5:$B$304,$B5,$K$5:$K$304,"&gt;"&amp;$K5)+1)</f>
        <v>1</v>
      </c>
      <c r="M5" s="8" t="str">
        <f aca="false">IF($L5="","",IF($L5&lt;=25,"Sí","No"))</f>
        <v>Sí</v>
      </c>
      <c r="N5" s="13" t="s">
        <v>474</v>
      </c>
    </row>
    <row r="6" customFormat="false" ht="15" hidden="false" customHeight="false" outlineLevel="0" collapsed="false">
      <c r="A6" s="13"/>
      <c r="B6" s="13"/>
      <c r="C6" s="13"/>
      <c r="D6" s="13"/>
      <c r="E6" s="8" t="str">
        <f aca="false">IF($D6="","",IFERROR(INDEX(Catálogo!$B$2:$B$200,MATCH($D6,Catálogo!$A$2:$A$200,0)),"ID no existe"))</f>
        <v/>
      </c>
      <c r="F6" s="8" t="str">
        <f aca="false">IF($D6="","",IFERROR(INDEX(Catálogo!$C$2:$C$200,MATCH($D6,Catálogo!$A$2:$A$200,0)),""))</f>
        <v/>
      </c>
      <c r="G6" s="8" t="str">
        <f aca="false">IF($D6="","",IFERROR(INDEX(Catálogo!$P$2:$P$200,MATCH($D6,Catálogo!$A$2:$A$200,0)),""))</f>
        <v/>
      </c>
      <c r="H6" s="13"/>
      <c r="I6" s="13"/>
      <c r="J6" s="13"/>
      <c r="K6" s="8" t="str">
        <f aca="false">IF($G6="","",IF($G6="Alta",3,IF($G6="Media",2,1))*10+COUNTIF($H6:$J6,"Sí"))</f>
        <v/>
      </c>
      <c r="L6" s="8" t="str">
        <f aca="false">IF($K6="","",COUNTIFS($B$5:$B$304,$B6,$K$5:$K$304,"&gt;"&amp;$K6)+1)</f>
        <v/>
      </c>
      <c r="M6" s="8" t="str">
        <f aca="false">IF($L6="","",IF($L6&lt;=25,"Sí","No"))</f>
        <v/>
      </c>
      <c r="N6" s="13"/>
    </row>
    <row r="7" customFormat="false" ht="15" hidden="false" customHeight="false" outlineLevel="0" collapsed="false">
      <c r="A7" s="13"/>
      <c r="B7" s="13"/>
      <c r="C7" s="13"/>
      <c r="D7" s="13"/>
      <c r="E7" s="8" t="str">
        <f aca="false">IF($D7="","",IFERROR(INDEX(Catálogo!$B$2:$B$200,MATCH($D7,Catálogo!$A$2:$A$200,0)),"ID no existe"))</f>
        <v/>
      </c>
      <c r="F7" s="8" t="str">
        <f aca="false">IF($D7="","",IFERROR(INDEX(Catálogo!$C$2:$C$200,MATCH($D7,Catálogo!$A$2:$A$200,0)),""))</f>
        <v/>
      </c>
      <c r="G7" s="8" t="str">
        <f aca="false">IF($D7="","",IFERROR(INDEX(Catálogo!$P$2:$P$200,MATCH($D7,Catálogo!$A$2:$A$200,0)),""))</f>
        <v/>
      </c>
      <c r="H7" s="13"/>
      <c r="I7" s="13"/>
      <c r="J7" s="13"/>
      <c r="K7" s="8" t="str">
        <f aca="false">IF($G7="","",IF($G7="Alta",3,IF($G7="Media",2,1))*10+COUNTIF($H7:$J7,"Sí"))</f>
        <v/>
      </c>
      <c r="L7" s="8" t="str">
        <f aca="false">IF($K7="","",COUNTIFS($B$5:$B$304,$B7,$K$5:$K$304,"&gt;"&amp;$K7)+1)</f>
        <v/>
      </c>
      <c r="M7" s="8" t="str">
        <f aca="false">IF($L7="","",IF($L7&lt;=25,"Sí","No"))</f>
        <v/>
      </c>
      <c r="N7" s="13"/>
    </row>
    <row r="8" customFormat="false" ht="15" hidden="false" customHeight="false" outlineLevel="0" collapsed="false">
      <c r="A8" s="13"/>
      <c r="B8" s="13"/>
      <c r="C8" s="13"/>
      <c r="D8" s="13"/>
      <c r="E8" s="8" t="str">
        <f aca="false">IF($D8="","",IFERROR(INDEX(Catálogo!$B$2:$B$200,MATCH($D8,Catálogo!$A$2:$A$200,0)),"ID no existe"))</f>
        <v/>
      </c>
      <c r="F8" s="8" t="str">
        <f aca="false">IF($D8="","",IFERROR(INDEX(Catálogo!$C$2:$C$200,MATCH($D8,Catálogo!$A$2:$A$200,0)),""))</f>
        <v/>
      </c>
      <c r="G8" s="8" t="str">
        <f aca="false">IF($D8="","",IFERROR(INDEX(Catálogo!$P$2:$P$200,MATCH($D8,Catálogo!$A$2:$A$200,0)),""))</f>
        <v/>
      </c>
      <c r="H8" s="13"/>
      <c r="I8" s="13"/>
      <c r="J8" s="13"/>
      <c r="K8" s="8" t="str">
        <f aca="false">IF($G8="","",IF($G8="Alta",3,IF($G8="Media",2,1))*10+COUNTIF($H8:$J8,"Sí"))</f>
        <v/>
      </c>
      <c r="L8" s="8" t="str">
        <f aca="false">IF($K8="","",COUNTIFS($B$5:$B$304,$B8,$K$5:$K$304,"&gt;"&amp;$K8)+1)</f>
        <v/>
      </c>
      <c r="M8" s="8" t="str">
        <f aca="false">IF($L8="","",IF($L8&lt;=25,"Sí","No"))</f>
        <v/>
      </c>
      <c r="N8" s="13"/>
    </row>
    <row r="9" customFormat="false" ht="15" hidden="false" customHeight="false" outlineLevel="0" collapsed="false">
      <c r="A9" s="13"/>
      <c r="B9" s="13"/>
      <c r="C9" s="13"/>
      <c r="D9" s="13"/>
      <c r="E9" s="8" t="str">
        <f aca="false">IF($D9="","",IFERROR(INDEX(Catálogo!$B$2:$B$200,MATCH($D9,Catálogo!$A$2:$A$200,0)),"ID no existe"))</f>
        <v/>
      </c>
      <c r="F9" s="8" t="str">
        <f aca="false">IF($D9="","",IFERROR(INDEX(Catálogo!$C$2:$C$200,MATCH($D9,Catálogo!$A$2:$A$200,0)),""))</f>
        <v/>
      </c>
      <c r="G9" s="8" t="str">
        <f aca="false">IF($D9="","",IFERROR(INDEX(Catálogo!$P$2:$P$200,MATCH($D9,Catálogo!$A$2:$A$200,0)),""))</f>
        <v/>
      </c>
      <c r="H9" s="13"/>
      <c r="I9" s="13"/>
      <c r="J9" s="13"/>
      <c r="K9" s="8" t="str">
        <f aca="false">IF($G9="","",IF($G9="Alta",3,IF($G9="Media",2,1))*10+COUNTIF($H9:$J9,"Sí"))</f>
        <v/>
      </c>
      <c r="L9" s="8" t="str">
        <f aca="false">IF($K9="","",COUNTIFS($B$5:$B$304,$B9,$K$5:$K$304,"&gt;"&amp;$K9)+1)</f>
        <v/>
      </c>
      <c r="M9" s="8" t="str">
        <f aca="false">IF($L9="","",IF($L9&lt;=25,"Sí","No"))</f>
        <v/>
      </c>
      <c r="N9" s="13"/>
    </row>
    <row r="10" customFormat="false" ht="15" hidden="false" customHeight="false" outlineLevel="0" collapsed="false">
      <c r="A10" s="13"/>
      <c r="B10" s="13"/>
      <c r="C10" s="13"/>
      <c r="D10" s="13"/>
      <c r="E10" s="8" t="str">
        <f aca="false">IF($D10="","",IFERROR(INDEX(Catálogo!$B$2:$B$200,MATCH($D10,Catálogo!$A$2:$A$200,0)),"ID no existe"))</f>
        <v/>
      </c>
      <c r="F10" s="8" t="str">
        <f aca="false">IF($D10="","",IFERROR(INDEX(Catálogo!$C$2:$C$200,MATCH($D10,Catálogo!$A$2:$A$200,0)),""))</f>
        <v/>
      </c>
      <c r="G10" s="8" t="str">
        <f aca="false">IF($D10="","",IFERROR(INDEX(Catálogo!$P$2:$P$200,MATCH($D10,Catálogo!$A$2:$A$200,0)),""))</f>
        <v/>
      </c>
      <c r="H10" s="13"/>
      <c r="I10" s="13"/>
      <c r="J10" s="13"/>
      <c r="K10" s="8" t="str">
        <f aca="false">IF($G10="","",IF($G10="Alta",3,IF($G10="Media",2,1))*10+COUNTIF($H10:$J10,"Sí"))</f>
        <v/>
      </c>
      <c r="L10" s="8" t="str">
        <f aca="false">IF($K10="","",COUNTIFS($B$5:$B$304,$B10,$K$5:$K$304,"&gt;"&amp;$K10)+1)</f>
        <v/>
      </c>
      <c r="M10" s="8" t="str">
        <f aca="false">IF($L10="","",IF($L10&lt;=25,"Sí","No"))</f>
        <v/>
      </c>
      <c r="N10" s="13"/>
    </row>
    <row r="11" customFormat="false" ht="15" hidden="false" customHeight="false" outlineLevel="0" collapsed="false">
      <c r="A11" s="13"/>
      <c r="B11" s="13"/>
      <c r="C11" s="13"/>
      <c r="D11" s="13"/>
      <c r="E11" s="8" t="str">
        <f aca="false">IF($D11="","",IFERROR(INDEX(Catálogo!$B$2:$B$200,MATCH($D11,Catálogo!$A$2:$A$200,0)),"ID no existe"))</f>
        <v/>
      </c>
      <c r="F11" s="8" t="str">
        <f aca="false">IF($D11="","",IFERROR(INDEX(Catálogo!$C$2:$C$200,MATCH($D11,Catálogo!$A$2:$A$200,0)),""))</f>
        <v/>
      </c>
      <c r="G11" s="8" t="str">
        <f aca="false">IF($D11="","",IFERROR(INDEX(Catálogo!$P$2:$P$200,MATCH($D11,Catálogo!$A$2:$A$200,0)),""))</f>
        <v/>
      </c>
      <c r="H11" s="13"/>
      <c r="I11" s="13"/>
      <c r="J11" s="13"/>
      <c r="K11" s="8" t="str">
        <f aca="false">IF($G11="","",IF($G11="Alta",3,IF($G11="Media",2,1))*10+COUNTIF($H11:$J11,"Sí"))</f>
        <v/>
      </c>
      <c r="L11" s="8" t="str">
        <f aca="false">IF($K11="","",COUNTIFS($B$5:$B$304,$B11,$K$5:$K$304,"&gt;"&amp;$K11)+1)</f>
        <v/>
      </c>
      <c r="M11" s="8" t="str">
        <f aca="false">IF($L11="","",IF($L11&lt;=25,"Sí","No"))</f>
        <v/>
      </c>
      <c r="N11" s="13"/>
    </row>
    <row r="12" customFormat="false" ht="15" hidden="false" customHeight="false" outlineLevel="0" collapsed="false">
      <c r="A12" s="13"/>
      <c r="B12" s="13"/>
      <c r="C12" s="13"/>
      <c r="D12" s="13"/>
      <c r="E12" s="8" t="str">
        <f aca="false">IF($D12="","",IFERROR(INDEX(Catálogo!$B$2:$B$200,MATCH($D12,Catálogo!$A$2:$A$200,0)),"ID no existe"))</f>
        <v/>
      </c>
      <c r="F12" s="8" t="str">
        <f aca="false">IF($D12="","",IFERROR(INDEX(Catálogo!$C$2:$C$200,MATCH($D12,Catálogo!$A$2:$A$200,0)),""))</f>
        <v/>
      </c>
      <c r="G12" s="8" t="str">
        <f aca="false">IF($D12="","",IFERROR(INDEX(Catálogo!$P$2:$P$200,MATCH($D12,Catálogo!$A$2:$A$200,0)),""))</f>
        <v/>
      </c>
      <c r="H12" s="13"/>
      <c r="I12" s="13"/>
      <c r="J12" s="13"/>
      <c r="K12" s="8" t="str">
        <f aca="false">IF($G12="","",IF($G12="Alta",3,IF($G12="Media",2,1))*10+COUNTIF($H12:$J12,"Sí"))</f>
        <v/>
      </c>
      <c r="L12" s="8" t="str">
        <f aca="false">IF($K12="","",COUNTIFS($B$5:$B$304,$B12,$K$5:$K$304,"&gt;"&amp;$K12)+1)</f>
        <v/>
      </c>
      <c r="M12" s="8" t="str">
        <f aca="false">IF($L12="","",IF($L12&lt;=25,"Sí","No"))</f>
        <v/>
      </c>
      <c r="N12" s="13"/>
    </row>
    <row r="13" customFormat="false" ht="15" hidden="false" customHeight="false" outlineLevel="0" collapsed="false">
      <c r="A13" s="13"/>
      <c r="B13" s="13"/>
      <c r="C13" s="13"/>
      <c r="D13" s="13"/>
      <c r="E13" s="8" t="str">
        <f aca="false">IF($D13="","",IFERROR(INDEX(Catálogo!$B$2:$B$200,MATCH($D13,Catálogo!$A$2:$A$200,0)),"ID no existe"))</f>
        <v/>
      </c>
      <c r="F13" s="8" t="str">
        <f aca="false">IF($D13="","",IFERROR(INDEX(Catálogo!$C$2:$C$200,MATCH($D13,Catálogo!$A$2:$A$200,0)),""))</f>
        <v/>
      </c>
      <c r="G13" s="8" t="str">
        <f aca="false">IF($D13="","",IFERROR(INDEX(Catálogo!$P$2:$P$200,MATCH($D13,Catálogo!$A$2:$A$200,0)),""))</f>
        <v/>
      </c>
      <c r="H13" s="13"/>
      <c r="I13" s="13"/>
      <c r="J13" s="13"/>
      <c r="K13" s="8" t="str">
        <f aca="false">IF($G13="","",IF($G13="Alta",3,IF($G13="Media",2,1))*10+COUNTIF($H13:$J13,"Sí"))</f>
        <v/>
      </c>
      <c r="L13" s="8" t="str">
        <f aca="false">IF($K13="","",COUNTIFS($B$5:$B$304,$B13,$K$5:$K$304,"&gt;"&amp;$K13)+1)</f>
        <v/>
      </c>
      <c r="M13" s="8" t="str">
        <f aca="false">IF($L13="","",IF($L13&lt;=25,"Sí","No"))</f>
        <v/>
      </c>
      <c r="N13" s="13"/>
    </row>
    <row r="14" customFormat="false" ht="15" hidden="false" customHeight="false" outlineLevel="0" collapsed="false">
      <c r="A14" s="13"/>
      <c r="B14" s="13"/>
      <c r="C14" s="13"/>
      <c r="D14" s="13"/>
      <c r="E14" s="8" t="str">
        <f aca="false">IF($D14="","",IFERROR(INDEX(Catálogo!$B$2:$B$200,MATCH($D14,Catálogo!$A$2:$A$200,0)),"ID no existe"))</f>
        <v/>
      </c>
      <c r="F14" s="8" t="str">
        <f aca="false">IF($D14="","",IFERROR(INDEX(Catálogo!$C$2:$C$200,MATCH($D14,Catálogo!$A$2:$A$200,0)),""))</f>
        <v/>
      </c>
      <c r="G14" s="8" t="str">
        <f aca="false">IF($D14="","",IFERROR(INDEX(Catálogo!$P$2:$P$200,MATCH($D14,Catálogo!$A$2:$A$200,0)),""))</f>
        <v/>
      </c>
      <c r="H14" s="13"/>
      <c r="I14" s="13"/>
      <c r="J14" s="13"/>
      <c r="K14" s="8" t="str">
        <f aca="false">IF($G14="","",IF($G14="Alta",3,IF($G14="Media",2,1))*10+COUNTIF($H14:$J14,"Sí"))</f>
        <v/>
      </c>
      <c r="L14" s="8" t="str">
        <f aca="false">IF($K14="","",COUNTIFS($B$5:$B$304,$B14,$K$5:$K$304,"&gt;"&amp;$K14)+1)</f>
        <v/>
      </c>
      <c r="M14" s="8" t="str">
        <f aca="false">IF($L14="","",IF($L14&lt;=25,"Sí","No"))</f>
        <v/>
      </c>
      <c r="N14" s="13"/>
    </row>
    <row r="15" customFormat="false" ht="15" hidden="false" customHeight="false" outlineLevel="0" collapsed="false">
      <c r="A15" s="13"/>
      <c r="B15" s="13"/>
      <c r="C15" s="13"/>
      <c r="D15" s="13"/>
      <c r="E15" s="8" t="str">
        <f aca="false">IF($D15="","",IFERROR(INDEX(Catálogo!$B$2:$B$200,MATCH($D15,Catálogo!$A$2:$A$200,0)),"ID no existe"))</f>
        <v/>
      </c>
      <c r="F15" s="8" t="str">
        <f aca="false">IF($D15="","",IFERROR(INDEX(Catálogo!$C$2:$C$200,MATCH($D15,Catálogo!$A$2:$A$200,0)),""))</f>
        <v/>
      </c>
      <c r="G15" s="8" t="str">
        <f aca="false">IF($D15="","",IFERROR(INDEX(Catálogo!$P$2:$P$200,MATCH($D15,Catálogo!$A$2:$A$200,0)),""))</f>
        <v/>
      </c>
      <c r="H15" s="13"/>
      <c r="I15" s="13"/>
      <c r="J15" s="13"/>
      <c r="K15" s="8" t="str">
        <f aca="false">IF($G15="","",IF($G15="Alta",3,IF($G15="Media",2,1))*10+COUNTIF($H15:$J15,"Sí"))</f>
        <v/>
      </c>
      <c r="L15" s="8" t="str">
        <f aca="false">IF($K15="","",COUNTIFS($B$5:$B$304,$B15,$K$5:$K$304,"&gt;"&amp;$K15)+1)</f>
        <v/>
      </c>
      <c r="M15" s="8" t="str">
        <f aca="false">IF($L15="","",IF($L15&lt;=25,"Sí","No"))</f>
        <v/>
      </c>
      <c r="N15" s="13"/>
    </row>
    <row r="16" customFormat="false" ht="15" hidden="false" customHeight="false" outlineLevel="0" collapsed="false">
      <c r="A16" s="13"/>
      <c r="B16" s="13"/>
      <c r="C16" s="13"/>
      <c r="D16" s="13"/>
      <c r="E16" s="8" t="str">
        <f aca="false">IF($D16="","",IFERROR(INDEX(Catálogo!$B$2:$B$200,MATCH($D16,Catálogo!$A$2:$A$200,0)),"ID no existe"))</f>
        <v/>
      </c>
      <c r="F16" s="8" t="str">
        <f aca="false">IF($D16="","",IFERROR(INDEX(Catálogo!$C$2:$C$200,MATCH($D16,Catálogo!$A$2:$A$200,0)),""))</f>
        <v/>
      </c>
      <c r="G16" s="8" t="str">
        <f aca="false">IF($D16="","",IFERROR(INDEX(Catálogo!$P$2:$P$200,MATCH($D16,Catálogo!$A$2:$A$200,0)),""))</f>
        <v/>
      </c>
      <c r="H16" s="13"/>
      <c r="I16" s="13"/>
      <c r="J16" s="13"/>
      <c r="K16" s="8" t="str">
        <f aca="false">IF($G16="","",IF($G16="Alta",3,IF($G16="Media",2,1))*10+COUNTIF($H16:$J16,"Sí"))</f>
        <v/>
      </c>
      <c r="L16" s="8" t="str">
        <f aca="false">IF($K16="","",COUNTIFS($B$5:$B$304,$B16,$K$5:$K$304,"&gt;"&amp;$K16)+1)</f>
        <v/>
      </c>
      <c r="M16" s="8" t="str">
        <f aca="false">IF($L16="","",IF($L16&lt;=25,"Sí","No"))</f>
        <v/>
      </c>
      <c r="N16" s="13"/>
    </row>
    <row r="17" customFormat="false" ht="15" hidden="false" customHeight="false" outlineLevel="0" collapsed="false">
      <c r="A17" s="13"/>
      <c r="B17" s="13"/>
      <c r="C17" s="13"/>
      <c r="D17" s="13"/>
      <c r="E17" s="8" t="str">
        <f aca="false">IF($D17="","",IFERROR(INDEX(Catálogo!$B$2:$B$200,MATCH($D17,Catálogo!$A$2:$A$200,0)),"ID no existe"))</f>
        <v/>
      </c>
      <c r="F17" s="8" t="str">
        <f aca="false">IF($D17="","",IFERROR(INDEX(Catálogo!$C$2:$C$200,MATCH($D17,Catálogo!$A$2:$A$200,0)),""))</f>
        <v/>
      </c>
      <c r="G17" s="8" t="str">
        <f aca="false">IF($D17="","",IFERROR(INDEX(Catálogo!$P$2:$P$200,MATCH($D17,Catálogo!$A$2:$A$200,0)),""))</f>
        <v/>
      </c>
      <c r="H17" s="13"/>
      <c r="I17" s="13"/>
      <c r="J17" s="13"/>
      <c r="K17" s="8" t="str">
        <f aca="false">IF($G17="","",IF($G17="Alta",3,IF($G17="Media",2,1))*10+COUNTIF($H17:$J17,"Sí"))</f>
        <v/>
      </c>
      <c r="L17" s="8" t="str">
        <f aca="false">IF($K17="","",COUNTIFS($B$5:$B$304,$B17,$K$5:$K$304,"&gt;"&amp;$K17)+1)</f>
        <v/>
      </c>
      <c r="M17" s="8" t="str">
        <f aca="false">IF($L17="","",IF($L17&lt;=25,"Sí","No"))</f>
        <v/>
      </c>
      <c r="N17" s="13"/>
    </row>
    <row r="18" customFormat="false" ht="15" hidden="false" customHeight="false" outlineLevel="0" collapsed="false">
      <c r="A18" s="13"/>
      <c r="B18" s="13"/>
      <c r="C18" s="13"/>
      <c r="D18" s="13"/>
      <c r="E18" s="8" t="str">
        <f aca="false">IF($D18="","",IFERROR(INDEX(Catálogo!$B$2:$B$200,MATCH($D18,Catálogo!$A$2:$A$200,0)),"ID no existe"))</f>
        <v/>
      </c>
      <c r="F18" s="8" t="str">
        <f aca="false">IF($D18="","",IFERROR(INDEX(Catálogo!$C$2:$C$200,MATCH($D18,Catálogo!$A$2:$A$200,0)),""))</f>
        <v/>
      </c>
      <c r="G18" s="8" t="str">
        <f aca="false">IF($D18="","",IFERROR(INDEX(Catálogo!$P$2:$P$200,MATCH($D18,Catálogo!$A$2:$A$200,0)),""))</f>
        <v/>
      </c>
      <c r="H18" s="13"/>
      <c r="I18" s="13"/>
      <c r="J18" s="13"/>
      <c r="K18" s="8" t="str">
        <f aca="false">IF($G18="","",IF($G18="Alta",3,IF($G18="Media",2,1))*10+COUNTIF($H18:$J18,"Sí"))</f>
        <v/>
      </c>
      <c r="L18" s="8" t="str">
        <f aca="false">IF($K18="","",COUNTIFS($B$5:$B$304,$B18,$K$5:$K$304,"&gt;"&amp;$K18)+1)</f>
        <v/>
      </c>
      <c r="M18" s="8" t="str">
        <f aca="false">IF($L18="","",IF($L18&lt;=25,"Sí","No"))</f>
        <v/>
      </c>
      <c r="N18" s="13"/>
    </row>
    <row r="19" customFormat="false" ht="15" hidden="false" customHeight="false" outlineLevel="0" collapsed="false">
      <c r="A19" s="13"/>
      <c r="B19" s="13"/>
      <c r="C19" s="13"/>
      <c r="D19" s="13"/>
      <c r="E19" s="8" t="str">
        <f aca="false">IF($D19="","",IFERROR(INDEX(Catálogo!$B$2:$B$200,MATCH($D19,Catálogo!$A$2:$A$200,0)),"ID no existe"))</f>
        <v/>
      </c>
      <c r="F19" s="8" t="str">
        <f aca="false">IF($D19="","",IFERROR(INDEX(Catálogo!$C$2:$C$200,MATCH($D19,Catálogo!$A$2:$A$200,0)),""))</f>
        <v/>
      </c>
      <c r="G19" s="8" t="str">
        <f aca="false">IF($D19="","",IFERROR(INDEX(Catálogo!$P$2:$P$200,MATCH($D19,Catálogo!$A$2:$A$200,0)),""))</f>
        <v/>
      </c>
      <c r="H19" s="13"/>
      <c r="I19" s="13"/>
      <c r="J19" s="13"/>
      <c r="K19" s="8" t="str">
        <f aca="false">IF($G19="","",IF($G19="Alta",3,IF($G19="Media",2,1))*10+COUNTIF($H19:$J19,"Sí"))</f>
        <v/>
      </c>
      <c r="L19" s="8" t="str">
        <f aca="false">IF($K19="","",COUNTIFS($B$5:$B$304,$B19,$K$5:$K$304,"&gt;"&amp;$K19)+1)</f>
        <v/>
      </c>
      <c r="M19" s="8" t="str">
        <f aca="false">IF($L19="","",IF($L19&lt;=25,"Sí","No"))</f>
        <v/>
      </c>
      <c r="N19" s="13"/>
    </row>
    <row r="20" customFormat="false" ht="15" hidden="false" customHeight="false" outlineLevel="0" collapsed="false">
      <c r="A20" s="13"/>
      <c r="B20" s="13"/>
      <c r="C20" s="13"/>
      <c r="D20" s="13"/>
      <c r="E20" s="8" t="str">
        <f aca="false">IF($D20="","",IFERROR(INDEX(Catálogo!$B$2:$B$200,MATCH($D20,Catálogo!$A$2:$A$200,0)),"ID no existe"))</f>
        <v/>
      </c>
      <c r="F20" s="8" t="str">
        <f aca="false">IF($D20="","",IFERROR(INDEX(Catálogo!$C$2:$C$200,MATCH($D20,Catálogo!$A$2:$A$200,0)),""))</f>
        <v/>
      </c>
      <c r="G20" s="8" t="str">
        <f aca="false">IF($D20="","",IFERROR(INDEX(Catálogo!$P$2:$P$200,MATCH($D20,Catálogo!$A$2:$A$200,0)),""))</f>
        <v/>
      </c>
      <c r="H20" s="13"/>
      <c r="I20" s="13"/>
      <c r="J20" s="13"/>
      <c r="K20" s="8" t="str">
        <f aca="false">IF($G20="","",IF($G20="Alta",3,IF($G20="Media",2,1))*10+COUNTIF($H20:$J20,"Sí"))</f>
        <v/>
      </c>
      <c r="L20" s="8" t="str">
        <f aca="false">IF($K20="","",COUNTIFS($B$5:$B$304,$B20,$K$5:$K$304,"&gt;"&amp;$K20)+1)</f>
        <v/>
      </c>
      <c r="M20" s="8" t="str">
        <f aca="false">IF($L20="","",IF($L20&lt;=25,"Sí","No"))</f>
        <v/>
      </c>
      <c r="N20" s="13"/>
    </row>
    <row r="21" customFormat="false" ht="15" hidden="false" customHeight="false" outlineLevel="0" collapsed="false">
      <c r="A21" s="13"/>
      <c r="B21" s="13"/>
      <c r="C21" s="13"/>
      <c r="D21" s="13"/>
      <c r="E21" s="8" t="str">
        <f aca="false">IF($D21="","",IFERROR(INDEX(Catálogo!$B$2:$B$200,MATCH($D21,Catálogo!$A$2:$A$200,0)),"ID no existe"))</f>
        <v/>
      </c>
      <c r="F21" s="8" t="str">
        <f aca="false">IF($D21="","",IFERROR(INDEX(Catálogo!$C$2:$C$200,MATCH($D21,Catálogo!$A$2:$A$200,0)),""))</f>
        <v/>
      </c>
      <c r="G21" s="8" t="str">
        <f aca="false">IF($D21="","",IFERROR(INDEX(Catálogo!$P$2:$P$200,MATCH($D21,Catálogo!$A$2:$A$200,0)),""))</f>
        <v/>
      </c>
      <c r="H21" s="13"/>
      <c r="I21" s="13"/>
      <c r="J21" s="13"/>
      <c r="K21" s="8" t="str">
        <f aca="false">IF($G21="","",IF($G21="Alta",3,IF($G21="Media",2,1))*10+COUNTIF($H21:$J21,"Sí"))</f>
        <v/>
      </c>
      <c r="L21" s="8" t="str">
        <f aca="false">IF($K21="","",COUNTIFS($B$5:$B$304,$B21,$K$5:$K$304,"&gt;"&amp;$K21)+1)</f>
        <v/>
      </c>
      <c r="M21" s="8" t="str">
        <f aca="false">IF($L21="","",IF($L21&lt;=25,"Sí","No"))</f>
        <v/>
      </c>
      <c r="N21" s="13"/>
    </row>
    <row r="22" customFormat="false" ht="15" hidden="false" customHeight="false" outlineLevel="0" collapsed="false">
      <c r="A22" s="13"/>
      <c r="B22" s="13"/>
      <c r="C22" s="13"/>
      <c r="D22" s="13"/>
      <c r="E22" s="8" t="str">
        <f aca="false">IF($D22="","",IFERROR(INDEX(Catálogo!$B$2:$B$200,MATCH($D22,Catálogo!$A$2:$A$200,0)),"ID no existe"))</f>
        <v/>
      </c>
      <c r="F22" s="8" t="str">
        <f aca="false">IF($D22="","",IFERROR(INDEX(Catálogo!$C$2:$C$200,MATCH($D22,Catálogo!$A$2:$A$200,0)),""))</f>
        <v/>
      </c>
      <c r="G22" s="8" t="str">
        <f aca="false">IF($D22="","",IFERROR(INDEX(Catálogo!$P$2:$P$200,MATCH($D22,Catálogo!$A$2:$A$200,0)),""))</f>
        <v/>
      </c>
      <c r="H22" s="13"/>
      <c r="I22" s="13"/>
      <c r="J22" s="13"/>
      <c r="K22" s="8" t="str">
        <f aca="false">IF($G22="","",IF($G22="Alta",3,IF($G22="Media",2,1))*10+COUNTIF($H22:$J22,"Sí"))</f>
        <v/>
      </c>
      <c r="L22" s="8" t="str">
        <f aca="false">IF($K22="","",COUNTIFS($B$5:$B$304,$B22,$K$5:$K$304,"&gt;"&amp;$K22)+1)</f>
        <v/>
      </c>
      <c r="M22" s="8" t="str">
        <f aca="false">IF($L22="","",IF($L22&lt;=25,"Sí","No"))</f>
        <v/>
      </c>
      <c r="N22" s="13"/>
    </row>
    <row r="23" customFormat="false" ht="15" hidden="false" customHeight="false" outlineLevel="0" collapsed="false">
      <c r="A23" s="13"/>
      <c r="B23" s="13"/>
      <c r="C23" s="13"/>
      <c r="D23" s="13"/>
      <c r="E23" s="8" t="str">
        <f aca="false">IF($D23="","",IFERROR(INDEX(Catálogo!$B$2:$B$200,MATCH($D23,Catálogo!$A$2:$A$200,0)),"ID no existe"))</f>
        <v/>
      </c>
      <c r="F23" s="8" t="str">
        <f aca="false">IF($D23="","",IFERROR(INDEX(Catálogo!$C$2:$C$200,MATCH($D23,Catálogo!$A$2:$A$200,0)),""))</f>
        <v/>
      </c>
      <c r="G23" s="8" t="str">
        <f aca="false">IF($D23="","",IFERROR(INDEX(Catálogo!$P$2:$P$200,MATCH($D23,Catálogo!$A$2:$A$200,0)),""))</f>
        <v/>
      </c>
      <c r="H23" s="13"/>
      <c r="I23" s="13"/>
      <c r="J23" s="13"/>
      <c r="K23" s="8" t="str">
        <f aca="false">IF($G23="","",IF($G23="Alta",3,IF($G23="Media",2,1))*10+COUNTIF($H23:$J23,"Sí"))</f>
        <v/>
      </c>
      <c r="L23" s="8" t="str">
        <f aca="false">IF($K23="","",COUNTIFS($B$5:$B$304,$B23,$K$5:$K$304,"&gt;"&amp;$K23)+1)</f>
        <v/>
      </c>
      <c r="M23" s="8" t="str">
        <f aca="false">IF($L23="","",IF($L23&lt;=25,"Sí","No"))</f>
        <v/>
      </c>
      <c r="N23" s="13"/>
    </row>
    <row r="24" customFormat="false" ht="15" hidden="false" customHeight="false" outlineLevel="0" collapsed="false">
      <c r="A24" s="13"/>
      <c r="B24" s="13"/>
      <c r="C24" s="13"/>
      <c r="D24" s="13"/>
      <c r="E24" s="8" t="str">
        <f aca="false">IF($D24="","",IFERROR(INDEX(Catálogo!$B$2:$B$200,MATCH($D24,Catálogo!$A$2:$A$200,0)),"ID no existe"))</f>
        <v/>
      </c>
      <c r="F24" s="8" t="str">
        <f aca="false">IF($D24="","",IFERROR(INDEX(Catálogo!$C$2:$C$200,MATCH($D24,Catálogo!$A$2:$A$200,0)),""))</f>
        <v/>
      </c>
      <c r="G24" s="8" t="str">
        <f aca="false">IF($D24="","",IFERROR(INDEX(Catálogo!$P$2:$P$200,MATCH($D24,Catálogo!$A$2:$A$200,0)),""))</f>
        <v/>
      </c>
      <c r="H24" s="13"/>
      <c r="I24" s="13"/>
      <c r="J24" s="13"/>
      <c r="K24" s="8" t="str">
        <f aca="false">IF($G24="","",IF($G24="Alta",3,IF($G24="Media",2,1))*10+COUNTIF($H24:$J24,"Sí"))</f>
        <v/>
      </c>
      <c r="L24" s="8" t="str">
        <f aca="false">IF($K24="","",COUNTIFS($B$5:$B$304,$B24,$K$5:$K$304,"&gt;"&amp;$K24)+1)</f>
        <v/>
      </c>
      <c r="M24" s="8" t="str">
        <f aca="false">IF($L24="","",IF($L24&lt;=25,"Sí","No"))</f>
        <v/>
      </c>
      <c r="N24" s="13"/>
    </row>
    <row r="25" customFormat="false" ht="15" hidden="false" customHeight="false" outlineLevel="0" collapsed="false">
      <c r="A25" s="13"/>
      <c r="B25" s="13"/>
      <c r="C25" s="13"/>
      <c r="D25" s="13"/>
      <c r="E25" s="8" t="str">
        <f aca="false">IF($D25="","",IFERROR(INDEX(Catálogo!$B$2:$B$200,MATCH($D25,Catálogo!$A$2:$A$200,0)),"ID no existe"))</f>
        <v/>
      </c>
      <c r="F25" s="8" t="str">
        <f aca="false">IF($D25="","",IFERROR(INDEX(Catálogo!$C$2:$C$200,MATCH($D25,Catálogo!$A$2:$A$200,0)),""))</f>
        <v/>
      </c>
      <c r="G25" s="8" t="str">
        <f aca="false">IF($D25="","",IFERROR(INDEX(Catálogo!$P$2:$P$200,MATCH($D25,Catálogo!$A$2:$A$200,0)),""))</f>
        <v/>
      </c>
      <c r="H25" s="13"/>
      <c r="I25" s="13"/>
      <c r="J25" s="13"/>
      <c r="K25" s="8" t="str">
        <f aca="false">IF($G25="","",IF($G25="Alta",3,IF($G25="Media",2,1))*10+COUNTIF($H25:$J25,"Sí"))</f>
        <v/>
      </c>
      <c r="L25" s="8" t="str">
        <f aca="false">IF($K25="","",COUNTIFS($B$5:$B$304,$B25,$K$5:$K$304,"&gt;"&amp;$K25)+1)</f>
        <v/>
      </c>
      <c r="M25" s="8" t="str">
        <f aca="false">IF($L25="","",IF($L25&lt;=25,"Sí","No"))</f>
        <v/>
      </c>
      <c r="N25" s="13"/>
    </row>
    <row r="26" customFormat="false" ht="15" hidden="false" customHeight="false" outlineLevel="0" collapsed="false">
      <c r="A26" s="13"/>
      <c r="B26" s="13"/>
      <c r="C26" s="13"/>
      <c r="D26" s="13"/>
      <c r="E26" s="8" t="str">
        <f aca="false">IF($D26="","",IFERROR(INDEX(Catálogo!$B$2:$B$200,MATCH($D26,Catálogo!$A$2:$A$200,0)),"ID no existe"))</f>
        <v/>
      </c>
      <c r="F26" s="8" t="str">
        <f aca="false">IF($D26="","",IFERROR(INDEX(Catálogo!$C$2:$C$200,MATCH($D26,Catálogo!$A$2:$A$200,0)),""))</f>
        <v/>
      </c>
      <c r="G26" s="8" t="str">
        <f aca="false">IF($D26="","",IFERROR(INDEX(Catálogo!$P$2:$P$200,MATCH($D26,Catálogo!$A$2:$A$200,0)),""))</f>
        <v/>
      </c>
      <c r="H26" s="13"/>
      <c r="I26" s="13"/>
      <c r="J26" s="13"/>
      <c r="K26" s="8" t="str">
        <f aca="false">IF($G26="","",IF($G26="Alta",3,IF($G26="Media",2,1))*10+COUNTIF($H26:$J26,"Sí"))</f>
        <v/>
      </c>
      <c r="L26" s="8" t="str">
        <f aca="false">IF($K26="","",COUNTIFS($B$5:$B$304,$B26,$K$5:$K$304,"&gt;"&amp;$K26)+1)</f>
        <v/>
      </c>
      <c r="M26" s="8" t="str">
        <f aca="false">IF($L26="","",IF($L26&lt;=25,"Sí","No"))</f>
        <v/>
      </c>
      <c r="N26" s="13"/>
    </row>
    <row r="27" customFormat="false" ht="15" hidden="false" customHeight="false" outlineLevel="0" collapsed="false">
      <c r="A27" s="13"/>
      <c r="B27" s="13"/>
      <c r="C27" s="13"/>
      <c r="D27" s="13"/>
      <c r="E27" s="8" t="str">
        <f aca="false">IF($D27="","",IFERROR(INDEX(Catálogo!$B$2:$B$200,MATCH($D27,Catálogo!$A$2:$A$200,0)),"ID no existe"))</f>
        <v/>
      </c>
      <c r="F27" s="8" t="str">
        <f aca="false">IF($D27="","",IFERROR(INDEX(Catálogo!$C$2:$C$200,MATCH($D27,Catálogo!$A$2:$A$200,0)),""))</f>
        <v/>
      </c>
      <c r="G27" s="8" t="str">
        <f aca="false">IF($D27="","",IFERROR(INDEX(Catálogo!$P$2:$P$200,MATCH($D27,Catálogo!$A$2:$A$200,0)),""))</f>
        <v/>
      </c>
      <c r="H27" s="13"/>
      <c r="I27" s="13"/>
      <c r="J27" s="13"/>
      <c r="K27" s="8" t="str">
        <f aca="false">IF($G27="","",IF($G27="Alta",3,IF($G27="Media",2,1))*10+COUNTIF($H27:$J27,"Sí"))</f>
        <v/>
      </c>
      <c r="L27" s="8" t="str">
        <f aca="false">IF($K27="","",COUNTIFS($B$5:$B$304,$B27,$K$5:$K$304,"&gt;"&amp;$K27)+1)</f>
        <v/>
      </c>
      <c r="M27" s="8" t="str">
        <f aca="false">IF($L27="","",IF($L27&lt;=25,"Sí","No"))</f>
        <v/>
      </c>
      <c r="N27" s="13"/>
    </row>
    <row r="28" customFormat="false" ht="15" hidden="false" customHeight="false" outlineLevel="0" collapsed="false">
      <c r="A28" s="13"/>
      <c r="B28" s="13"/>
      <c r="C28" s="13"/>
      <c r="D28" s="13"/>
      <c r="E28" s="8" t="str">
        <f aca="false">IF($D28="","",IFERROR(INDEX(Catálogo!$B$2:$B$200,MATCH($D28,Catálogo!$A$2:$A$200,0)),"ID no existe"))</f>
        <v/>
      </c>
      <c r="F28" s="8" t="str">
        <f aca="false">IF($D28="","",IFERROR(INDEX(Catálogo!$C$2:$C$200,MATCH($D28,Catálogo!$A$2:$A$200,0)),""))</f>
        <v/>
      </c>
      <c r="G28" s="8" t="str">
        <f aca="false">IF($D28="","",IFERROR(INDEX(Catálogo!$P$2:$P$200,MATCH($D28,Catálogo!$A$2:$A$200,0)),""))</f>
        <v/>
      </c>
      <c r="H28" s="13"/>
      <c r="I28" s="13"/>
      <c r="J28" s="13"/>
      <c r="K28" s="8" t="str">
        <f aca="false">IF($G28="","",IF($G28="Alta",3,IF($G28="Media",2,1))*10+COUNTIF($H28:$J28,"Sí"))</f>
        <v/>
      </c>
      <c r="L28" s="8" t="str">
        <f aca="false">IF($K28="","",COUNTIFS($B$5:$B$304,$B28,$K$5:$K$304,"&gt;"&amp;$K28)+1)</f>
        <v/>
      </c>
      <c r="M28" s="8" t="str">
        <f aca="false">IF($L28="","",IF($L28&lt;=25,"Sí","No"))</f>
        <v/>
      </c>
      <c r="N28" s="13"/>
    </row>
    <row r="29" customFormat="false" ht="15" hidden="false" customHeight="false" outlineLevel="0" collapsed="false">
      <c r="A29" s="13"/>
      <c r="B29" s="13"/>
      <c r="C29" s="13"/>
      <c r="D29" s="13"/>
      <c r="E29" s="8" t="str">
        <f aca="false">IF($D29="","",IFERROR(INDEX(Catálogo!$B$2:$B$200,MATCH($D29,Catálogo!$A$2:$A$200,0)),"ID no existe"))</f>
        <v/>
      </c>
      <c r="F29" s="8" t="str">
        <f aca="false">IF($D29="","",IFERROR(INDEX(Catálogo!$C$2:$C$200,MATCH($D29,Catálogo!$A$2:$A$200,0)),""))</f>
        <v/>
      </c>
      <c r="G29" s="8" t="str">
        <f aca="false">IF($D29="","",IFERROR(INDEX(Catálogo!$P$2:$P$200,MATCH($D29,Catálogo!$A$2:$A$200,0)),""))</f>
        <v/>
      </c>
      <c r="H29" s="13"/>
      <c r="I29" s="13"/>
      <c r="J29" s="13"/>
      <c r="K29" s="8" t="str">
        <f aca="false">IF($G29="","",IF($G29="Alta",3,IF($G29="Media",2,1))*10+COUNTIF($H29:$J29,"Sí"))</f>
        <v/>
      </c>
      <c r="L29" s="8" t="str">
        <f aca="false">IF($K29="","",COUNTIFS($B$5:$B$304,$B29,$K$5:$K$304,"&gt;"&amp;$K29)+1)</f>
        <v/>
      </c>
      <c r="M29" s="8" t="str">
        <f aca="false">IF($L29="","",IF($L29&lt;=25,"Sí","No"))</f>
        <v/>
      </c>
      <c r="N29" s="13"/>
    </row>
    <row r="30" customFormat="false" ht="15" hidden="false" customHeight="false" outlineLevel="0" collapsed="false">
      <c r="A30" s="13"/>
      <c r="B30" s="13"/>
      <c r="C30" s="13"/>
      <c r="D30" s="13"/>
      <c r="E30" s="8" t="str">
        <f aca="false">IF($D30="","",IFERROR(INDEX(Catálogo!$B$2:$B$200,MATCH($D30,Catálogo!$A$2:$A$200,0)),"ID no existe"))</f>
        <v/>
      </c>
      <c r="F30" s="8" t="str">
        <f aca="false">IF($D30="","",IFERROR(INDEX(Catálogo!$C$2:$C$200,MATCH($D30,Catálogo!$A$2:$A$200,0)),""))</f>
        <v/>
      </c>
      <c r="G30" s="8" t="str">
        <f aca="false">IF($D30="","",IFERROR(INDEX(Catálogo!$P$2:$P$200,MATCH($D30,Catálogo!$A$2:$A$200,0)),""))</f>
        <v/>
      </c>
      <c r="H30" s="13"/>
      <c r="I30" s="13"/>
      <c r="J30" s="13"/>
      <c r="K30" s="8" t="str">
        <f aca="false">IF($G30="","",IF($G30="Alta",3,IF($G30="Media",2,1))*10+COUNTIF($H30:$J30,"Sí"))</f>
        <v/>
      </c>
      <c r="L30" s="8" t="str">
        <f aca="false">IF($K30="","",COUNTIFS($B$5:$B$304,$B30,$K$5:$K$304,"&gt;"&amp;$K30)+1)</f>
        <v/>
      </c>
      <c r="M30" s="8" t="str">
        <f aca="false">IF($L30="","",IF($L30&lt;=25,"Sí","No"))</f>
        <v/>
      </c>
      <c r="N30" s="13"/>
    </row>
    <row r="31" customFormat="false" ht="15" hidden="false" customHeight="false" outlineLevel="0" collapsed="false">
      <c r="A31" s="13"/>
      <c r="B31" s="13"/>
      <c r="C31" s="13"/>
      <c r="D31" s="13"/>
      <c r="E31" s="8" t="str">
        <f aca="false">IF($D31="","",IFERROR(INDEX(Catálogo!$B$2:$B$200,MATCH($D31,Catálogo!$A$2:$A$200,0)),"ID no existe"))</f>
        <v/>
      </c>
      <c r="F31" s="8" t="str">
        <f aca="false">IF($D31="","",IFERROR(INDEX(Catálogo!$C$2:$C$200,MATCH($D31,Catálogo!$A$2:$A$200,0)),""))</f>
        <v/>
      </c>
      <c r="G31" s="8" t="str">
        <f aca="false">IF($D31="","",IFERROR(INDEX(Catálogo!$P$2:$P$200,MATCH($D31,Catálogo!$A$2:$A$200,0)),""))</f>
        <v/>
      </c>
      <c r="H31" s="13"/>
      <c r="I31" s="13"/>
      <c r="J31" s="13"/>
      <c r="K31" s="8" t="str">
        <f aca="false">IF($G31="","",IF($G31="Alta",3,IF($G31="Media",2,1))*10+COUNTIF($H31:$J31,"Sí"))</f>
        <v/>
      </c>
      <c r="L31" s="8" t="str">
        <f aca="false">IF($K31="","",COUNTIFS($B$5:$B$304,$B31,$K$5:$K$304,"&gt;"&amp;$K31)+1)</f>
        <v/>
      </c>
      <c r="M31" s="8" t="str">
        <f aca="false">IF($L31="","",IF($L31&lt;=25,"Sí","No"))</f>
        <v/>
      </c>
      <c r="N31" s="13"/>
    </row>
    <row r="32" customFormat="false" ht="15" hidden="false" customHeight="false" outlineLevel="0" collapsed="false">
      <c r="A32" s="13"/>
      <c r="B32" s="13"/>
      <c r="C32" s="13"/>
      <c r="D32" s="13"/>
      <c r="E32" s="8" t="str">
        <f aca="false">IF($D32="","",IFERROR(INDEX(Catálogo!$B$2:$B$200,MATCH($D32,Catálogo!$A$2:$A$200,0)),"ID no existe"))</f>
        <v/>
      </c>
      <c r="F32" s="8" t="str">
        <f aca="false">IF($D32="","",IFERROR(INDEX(Catálogo!$C$2:$C$200,MATCH($D32,Catálogo!$A$2:$A$200,0)),""))</f>
        <v/>
      </c>
      <c r="G32" s="8" t="str">
        <f aca="false">IF($D32="","",IFERROR(INDEX(Catálogo!$P$2:$P$200,MATCH($D32,Catálogo!$A$2:$A$200,0)),""))</f>
        <v/>
      </c>
      <c r="H32" s="13"/>
      <c r="I32" s="13"/>
      <c r="J32" s="13"/>
      <c r="K32" s="8" t="str">
        <f aca="false">IF($G32="","",IF($G32="Alta",3,IF($G32="Media",2,1))*10+COUNTIF($H32:$J32,"Sí"))</f>
        <v/>
      </c>
      <c r="L32" s="8" t="str">
        <f aca="false">IF($K32="","",COUNTIFS($B$5:$B$304,$B32,$K$5:$K$304,"&gt;"&amp;$K32)+1)</f>
        <v/>
      </c>
      <c r="M32" s="8" t="str">
        <f aca="false">IF($L32="","",IF($L32&lt;=25,"Sí","No"))</f>
        <v/>
      </c>
      <c r="N32" s="13"/>
    </row>
    <row r="33" customFormat="false" ht="15" hidden="false" customHeight="false" outlineLevel="0" collapsed="false">
      <c r="A33" s="13"/>
      <c r="B33" s="13"/>
      <c r="C33" s="13"/>
      <c r="D33" s="13"/>
      <c r="E33" s="8" t="str">
        <f aca="false">IF($D33="","",IFERROR(INDEX(Catálogo!$B$2:$B$200,MATCH($D33,Catálogo!$A$2:$A$200,0)),"ID no existe"))</f>
        <v/>
      </c>
      <c r="F33" s="8" t="str">
        <f aca="false">IF($D33="","",IFERROR(INDEX(Catálogo!$C$2:$C$200,MATCH($D33,Catálogo!$A$2:$A$200,0)),""))</f>
        <v/>
      </c>
      <c r="G33" s="8" t="str">
        <f aca="false">IF($D33="","",IFERROR(INDEX(Catálogo!$P$2:$P$200,MATCH($D33,Catálogo!$A$2:$A$200,0)),""))</f>
        <v/>
      </c>
      <c r="H33" s="13"/>
      <c r="I33" s="13"/>
      <c r="J33" s="13"/>
      <c r="K33" s="8" t="str">
        <f aca="false">IF($G33="","",IF($G33="Alta",3,IF($G33="Media",2,1))*10+COUNTIF($H33:$J33,"Sí"))</f>
        <v/>
      </c>
      <c r="L33" s="8" t="str">
        <f aca="false">IF($K33="","",COUNTIFS($B$5:$B$304,$B33,$K$5:$K$304,"&gt;"&amp;$K33)+1)</f>
        <v/>
      </c>
      <c r="M33" s="8" t="str">
        <f aca="false">IF($L33="","",IF($L33&lt;=25,"Sí","No"))</f>
        <v/>
      </c>
      <c r="N33" s="13"/>
    </row>
    <row r="34" customFormat="false" ht="15" hidden="false" customHeight="false" outlineLevel="0" collapsed="false">
      <c r="A34" s="13"/>
      <c r="B34" s="13"/>
      <c r="C34" s="13"/>
      <c r="D34" s="13"/>
      <c r="E34" s="8" t="str">
        <f aca="false">IF($D34="","",IFERROR(INDEX(Catálogo!$B$2:$B$200,MATCH($D34,Catálogo!$A$2:$A$200,0)),"ID no existe"))</f>
        <v/>
      </c>
      <c r="F34" s="8" t="str">
        <f aca="false">IF($D34="","",IFERROR(INDEX(Catálogo!$C$2:$C$200,MATCH($D34,Catálogo!$A$2:$A$200,0)),""))</f>
        <v/>
      </c>
      <c r="G34" s="8" t="str">
        <f aca="false">IF($D34="","",IFERROR(INDEX(Catálogo!$P$2:$P$200,MATCH($D34,Catálogo!$A$2:$A$200,0)),""))</f>
        <v/>
      </c>
      <c r="H34" s="13"/>
      <c r="I34" s="13"/>
      <c r="J34" s="13"/>
      <c r="K34" s="8" t="str">
        <f aca="false">IF($G34="","",IF($G34="Alta",3,IF($G34="Media",2,1))*10+COUNTIF($H34:$J34,"Sí"))</f>
        <v/>
      </c>
      <c r="L34" s="8" t="str">
        <f aca="false">IF($K34="","",COUNTIFS($B$5:$B$304,$B34,$K$5:$K$304,"&gt;"&amp;$K34)+1)</f>
        <v/>
      </c>
      <c r="M34" s="8" t="str">
        <f aca="false">IF($L34="","",IF($L34&lt;=25,"Sí","No"))</f>
        <v/>
      </c>
      <c r="N34" s="13"/>
    </row>
    <row r="35" customFormat="false" ht="15" hidden="false" customHeight="false" outlineLevel="0" collapsed="false">
      <c r="A35" s="13"/>
      <c r="B35" s="13"/>
      <c r="C35" s="13"/>
      <c r="D35" s="13"/>
      <c r="E35" s="8" t="str">
        <f aca="false">IF($D35="","",IFERROR(INDEX(Catálogo!$B$2:$B$200,MATCH($D35,Catálogo!$A$2:$A$200,0)),"ID no existe"))</f>
        <v/>
      </c>
      <c r="F35" s="8" t="str">
        <f aca="false">IF($D35="","",IFERROR(INDEX(Catálogo!$C$2:$C$200,MATCH($D35,Catálogo!$A$2:$A$200,0)),""))</f>
        <v/>
      </c>
      <c r="G35" s="8" t="str">
        <f aca="false">IF($D35="","",IFERROR(INDEX(Catálogo!$P$2:$P$200,MATCH($D35,Catálogo!$A$2:$A$200,0)),""))</f>
        <v/>
      </c>
      <c r="H35" s="13"/>
      <c r="I35" s="13"/>
      <c r="J35" s="13"/>
      <c r="K35" s="8" t="str">
        <f aca="false">IF($G35="","",IF($G35="Alta",3,IF($G35="Media",2,1))*10+COUNTIF($H35:$J35,"Sí"))</f>
        <v/>
      </c>
      <c r="L35" s="8" t="str">
        <f aca="false">IF($K35="","",COUNTIFS($B$5:$B$304,$B35,$K$5:$K$304,"&gt;"&amp;$K35)+1)</f>
        <v/>
      </c>
      <c r="M35" s="8" t="str">
        <f aca="false">IF($L35="","",IF($L35&lt;=25,"Sí","No"))</f>
        <v/>
      </c>
      <c r="N35" s="13"/>
    </row>
    <row r="36" customFormat="false" ht="15" hidden="false" customHeight="false" outlineLevel="0" collapsed="false">
      <c r="A36" s="13"/>
      <c r="B36" s="13"/>
      <c r="C36" s="13"/>
      <c r="D36" s="13"/>
      <c r="E36" s="8" t="str">
        <f aca="false">IF($D36="","",IFERROR(INDEX(Catálogo!$B$2:$B$200,MATCH($D36,Catálogo!$A$2:$A$200,0)),"ID no existe"))</f>
        <v/>
      </c>
      <c r="F36" s="8" t="str">
        <f aca="false">IF($D36="","",IFERROR(INDEX(Catálogo!$C$2:$C$200,MATCH($D36,Catálogo!$A$2:$A$200,0)),""))</f>
        <v/>
      </c>
      <c r="G36" s="8" t="str">
        <f aca="false">IF($D36="","",IFERROR(INDEX(Catálogo!$P$2:$P$200,MATCH($D36,Catálogo!$A$2:$A$200,0)),""))</f>
        <v/>
      </c>
      <c r="H36" s="13"/>
      <c r="I36" s="13"/>
      <c r="J36" s="13"/>
      <c r="K36" s="8" t="str">
        <f aca="false">IF($G36="","",IF($G36="Alta",3,IF($G36="Media",2,1))*10+COUNTIF($H36:$J36,"Sí"))</f>
        <v/>
      </c>
      <c r="L36" s="8" t="str">
        <f aca="false">IF($K36="","",COUNTIFS($B$5:$B$304,$B36,$K$5:$K$304,"&gt;"&amp;$K36)+1)</f>
        <v/>
      </c>
      <c r="M36" s="8" t="str">
        <f aca="false">IF($L36="","",IF($L36&lt;=25,"Sí","No"))</f>
        <v/>
      </c>
      <c r="N36" s="13"/>
    </row>
    <row r="37" customFormat="false" ht="15" hidden="false" customHeight="false" outlineLevel="0" collapsed="false">
      <c r="A37" s="13"/>
      <c r="B37" s="13"/>
      <c r="C37" s="13"/>
      <c r="D37" s="13"/>
      <c r="E37" s="8" t="str">
        <f aca="false">IF($D37="","",IFERROR(INDEX(Catálogo!$B$2:$B$200,MATCH($D37,Catálogo!$A$2:$A$200,0)),"ID no existe"))</f>
        <v/>
      </c>
      <c r="F37" s="8" t="str">
        <f aca="false">IF($D37="","",IFERROR(INDEX(Catálogo!$C$2:$C$200,MATCH($D37,Catálogo!$A$2:$A$200,0)),""))</f>
        <v/>
      </c>
      <c r="G37" s="8" t="str">
        <f aca="false">IF($D37="","",IFERROR(INDEX(Catálogo!$P$2:$P$200,MATCH($D37,Catálogo!$A$2:$A$200,0)),""))</f>
        <v/>
      </c>
      <c r="H37" s="13"/>
      <c r="I37" s="13"/>
      <c r="J37" s="13"/>
      <c r="K37" s="8" t="str">
        <f aca="false">IF($G37="","",IF($G37="Alta",3,IF($G37="Media",2,1))*10+COUNTIF($H37:$J37,"Sí"))</f>
        <v/>
      </c>
      <c r="L37" s="8" t="str">
        <f aca="false">IF($K37="","",COUNTIFS($B$5:$B$304,$B37,$K$5:$K$304,"&gt;"&amp;$K37)+1)</f>
        <v/>
      </c>
      <c r="M37" s="8" t="str">
        <f aca="false">IF($L37="","",IF($L37&lt;=25,"Sí","No"))</f>
        <v/>
      </c>
      <c r="N37" s="13"/>
    </row>
    <row r="38" customFormat="false" ht="15" hidden="false" customHeight="false" outlineLevel="0" collapsed="false">
      <c r="A38" s="13"/>
      <c r="B38" s="13"/>
      <c r="C38" s="13"/>
      <c r="D38" s="13"/>
      <c r="E38" s="8" t="str">
        <f aca="false">IF($D38="","",IFERROR(INDEX(Catálogo!$B$2:$B$200,MATCH($D38,Catálogo!$A$2:$A$200,0)),"ID no existe"))</f>
        <v/>
      </c>
      <c r="F38" s="8" t="str">
        <f aca="false">IF($D38="","",IFERROR(INDEX(Catálogo!$C$2:$C$200,MATCH($D38,Catálogo!$A$2:$A$200,0)),""))</f>
        <v/>
      </c>
      <c r="G38" s="8" t="str">
        <f aca="false">IF($D38="","",IFERROR(INDEX(Catálogo!$P$2:$P$200,MATCH($D38,Catálogo!$A$2:$A$200,0)),""))</f>
        <v/>
      </c>
      <c r="H38" s="13"/>
      <c r="I38" s="13"/>
      <c r="J38" s="13"/>
      <c r="K38" s="8" t="str">
        <f aca="false">IF($G38="","",IF($G38="Alta",3,IF($G38="Media",2,1))*10+COUNTIF($H38:$J38,"Sí"))</f>
        <v/>
      </c>
      <c r="L38" s="8" t="str">
        <f aca="false">IF($K38="","",COUNTIFS($B$5:$B$304,$B38,$K$5:$K$304,"&gt;"&amp;$K38)+1)</f>
        <v/>
      </c>
      <c r="M38" s="8" t="str">
        <f aca="false">IF($L38="","",IF($L38&lt;=25,"Sí","No"))</f>
        <v/>
      </c>
      <c r="N38" s="13"/>
    </row>
    <row r="39" customFormat="false" ht="15" hidden="false" customHeight="false" outlineLevel="0" collapsed="false">
      <c r="A39" s="13"/>
      <c r="B39" s="13"/>
      <c r="C39" s="13"/>
      <c r="D39" s="13"/>
      <c r="E39" s="8" t="str">
        <f aca="false">IF($D39="","",IFERROR(INDEX(Catálogo!$B$2:$B$200,MATCH($D39,Catálogo!$A$2:$A$200,0)),"ID no existe"))</f>
        <v/>
      </c>
      <c r="F39" s="8" t="str">
        <f aca="false">IF($D39="","",IFERROR(INDEX(Catálogo!$C$2:$C$200,MATCH($D39,Catálogo!$A$2:$A$200,0)),""))</f>
        <v/>
      </c>
      <c r="G39" s="8" t="str">
        <f aca="false">IF($D39="","",IFERROR(INDEX(Catálogo!$P$2:$P$200,MATCH($D39,Catálogo!$A$2:$A$200,0)),""))</f>
        <v/>
      </c>
      <c r="H39" s="13"/>
      <c r="I39" s="13"/>
      <c r="J39" s="13"/>
      <c r="K39" s="8" t="str">
        <f aca="false">IF($G39="","",IF($G39="Alta",3,IF($G39="Media",2,1))*10+COUNTIF($H39:$J39,"Sí"))</f>
        <v/>
      </c>
      <c r="L39" s="8" t="str">
        <f aca="false">IF($K39="","",COUNTIFS($B$5:$B$304,$B39,$K$5:$K$304,"&gt;"&amp;$K39)+1)</f>
        <v/>
      </c>
      <c r="M39" s="8" t="str">
        <f aca="false">IF($L39="","",IF($L39&lt;=25,"Sí","No"))</f>
        <v/>
      </c>
      <c r="N39" s="13"/>
    </row>
    <row r="40" customFormat="false" ht="15" hidden="false" customHeight="false" outlineLevel="0" collapsed="false">
      <c r="A40" s="13"/>
      <c r="B40" s="13"/>
      <c r="C40" s="13"/>
      <c r="D40" s="13"/>
      <c r="E40" s="8" t="str">
        <f aca="false">IF($D40="","",IFERROR(INDEX(Catálogo!$B$2:$B$200,MATCH($D40,Catálogo!$A$2:$A$200,0)),"ID no existe"))</f>
        <v/>
      </c>
      <c r="F40" s="8" t="str">
        <f aca="false">IF($D40="","",IFERROR(INDEX(Catálogo!$C$2:$C$200,MATCH($D40,Catálogo!$A$2:$A$200,0)),""))</f>
        <v/>
      </c>
      <c r="G40" s="8" t="str">
        <f aca="false">IF($D40="","",IFERROR(INDEX(Catálogo!$P$2:$P$200,MATCH($D40,Catálogo!$A$2:$A$200,0)),""))</f>
        <v/>
      </c>
      <c r="H40" s="13"/>
      <c r="I40" s="13"/>
      <c r="J40" s="13"/>
      <c r="K40" s="8" t="str">
        <f aca="false">IF($G40="","",IF($G40="Alta",3,IF($G40="Media",2,1))*10+COUNTIF($H40:$J40,"Sí"))</f>
        <v/>
      </c>
      <c r="L40" s="8" t="str">
        <f aca="false">IF($K40="","",COUNTIFS($B$5:$B$304,$B40,$K$5:$K$304,"&gt;"&amp;$K40)+1)</f>
        <v/>
      </c>
      <c r="M40" s="8" t="str">
        <f aca="false">IF($L40="","",IF($L40&lt;=25,"Sí","No"))</f>
        <v/>
      </c>
      <c r="N40" s="13"/>
    </row>
    <row r="41" customFormat="false" ht="15" hidden="false" customHeight="false" outlineLevel="0" collapsed="false">
      <c r="A41" s="13"/>
      <c r="B41" s="13"/>
      <c r="C41" s="13"/>
      <c r="D41" s="13"/>
      <c r="E41" s="8" t="str">
        <f aca="false">IF($D41="","",IFERROR(INDEX(Catálogo!$B$2:$B$200,MATCH($D41,Catálogo!$A$2:$A$200,0)),"ID no existe"))</f>
        <v/>
      </c>
      <c r="F41" s="8" t="str">
        <f aca="false">IF($D41="","",IFERROR(INDEX(Catálogo!$C$2:$C$200,MATCH($D41,Catálogo!$A$2:$A$200,0)),""))</f>
        <v/>
      </c>
      <c r="G41" s="8" t="str">
        <f aca="false">IF($D41="","",IFERROR(INDEX(Catálogo!$P$2:$P$200,MATCH($D41,Catálogo!$A$2:$A$200,0)),""))</f>
        <v/>
      </c>
      <c r="H41" s="13"/>
      <c r="I41" s="13"/>
      <c r="J41" s="13"/>
      <c r="K41" s="8" t="str">
        <f aca="false">IF($G41="","",IF($G41="Alta",3,IF($G41="Media",2,1))*10+COUNTIF($H41:$J41,"Sí"))</f>
        <v/>
      </c>
      <c r="L41" s="8" t="str">
        <f aca="false">IF($K41="","",COUNTIFS($B$5:$B$304,$B41,$K$5:$K$304,"&gt;"&amp;$K41)+1)</f>
        <v/>
      </c>
      <c r="M41" s="8" t="str">
        <f aca="false">IF($L41="","",IF($L41&lt;=25,"Sí","No"))</f>
        <v/>
      </c>
      <c r="N41" s="13"/>
    </row>
    <row r="42" customFormat="false" ht="15" hidden="false" customHeight="false" outlineLevel="0" collapsed="false">
      <c r="A42" s="13"/>
      <c r="B42" s="13"/>
      <c r="C42" s="13"/>
      <c r="D42" s="13"/>
      <c r="E42" s="8" t="str">
        <f aca="false">IF($D42="","",IFERROR(INDEX(Catálogo!$B$2:$B$200,MATCH($D42,Catálogo!$A$2:$A$200,0)),"ID no existe"))</f>
        <v/>
      </c>
      <c r="F42" s="8" t="str">
        <f aca="false">IF($D42="","",IFERROR(INDEX(Catálogo!$C$2:$C$200,MATCH($D42,Catálogo!$A$2:$A$200,0)),""))</f>
        <v/>
      </c>
      <c r="G42" s="8" t="str">
        <f aca="false">IF($D42="","",IFERROR(INDEX(Catálogo!$P$2:$P$200,MATCH($D42,Catálogo!$A$2:$A$200,0)),""))</f>
        <v/>
      </c>
      <c r="H42" s="13"/>
      <c r="I42" s="13"/>
      <c r="J42" s="13"/>
      <c r="K42" s="8" t="str">
        <f aca="false">IF($G42="","",IF($G42="Alta",3,IF($G42="Media",2,1))*10+COUNTIF($H42:$J42,"Sí"))</f>
        <v/>
      </c>
      <c r="L42" s="8" t="str">
        <f aca="false">IF($K42="","",COUNTIFS($B$5:$B$304,$B42,$K$5:$K$304,"&gt;"&amp;$K42)+1)</f>
        <v/>
      </c>
      <c r="M42" s="8" t="str">
        <f aca="false">IF($L42="","",IF($L42&lt;=25,"Sí","No"))</f>
        <v/>
      </c>
      <c r="N42" s="13"/>
    </row>
    <row r="43" customFormat="false" ht="15" hidden="false" customHeight="false" outlineLevel="0" collapsed="false">
      <c r="A43" s="13"/>
      <c r="B43" s="13"/>
      <c r="C43" s="13"/>
      <c r="D43" s="13"/>
      <c r="E43" s="8" t="str">
        <f aca="false">IF($D43="","",IFERROR(INDEX(Catálogo!$B$2:$B$200,MATCH($D43,Catálogo!$A$2:$A$200,0)),"ID no existe"))</f>
        <v/>
      </c>
      <c r="F43" s="8" t="str">
        <f aca="false">IF($D43="","",IFERROR(INDEX(Catálogo!$C$2:$C$200,MATCH($D43,Catálogo!$A$2:$A$200,0)),""))</f>
        <v/>
      </c>
      <c r="G43" s="8" t="str">
        <f aca="false">IF($D43="","",IFERROR(INDEX(Catálogo!$P$2:$P$200,MATCH($D43,Catálogo!$A$2:$A$200,0)),""))</f>
        <v/>
      </c>
      <c r="H43" s="13"/>
      <c r="I43" s="13"/>
      <c r="J43" s="13"/>
      <c r="K43" s="8" t="str">
        <f aca="false">IF($G43="","",IF($G43="Alta",3,IF($G43="Media",2,1))*10+COUNTIF($H43:$J43,"Sí"))</f>
        <v/>
      </c>
      <c r="L43" s="8" t="str">
        <f aca="false">IF($K43="","",COUNTIFS($B$5:$B$304,$B43,$K$5:$K$304,"&gt;"&amp;$K43)+1)</f>
        <v/>
      </c>
      <c r="M43" s="8" t="str">
        <f aca="false">IF($L43="","",IF($L43&lt;=25,"Sí","No"))</f>
        <v/>
      </c>
      <c r="N43" s="13"/>
    </row>
    <row r="44" customFormat="false" ht="15" hidden="false" customHeight="false" outlineLevel="0" collapsed="false">
      <c r="A44" s="13"/>
      <c r="B44" s="13"/>
      <c r="C44" s="13"/>
      <c r="D44" s="13"/>
      <c r="E44" s="8" t="str">
        <f aca="false">IF($D44="","",IFERROR(INDEX(Catálogo!$B$2:$B$200,MATCH($D44,Catálogo!$A$2:$A$200,0)),"ID no existe"))</f>
        <v/>
      </c>
      <c r="F44" s="8" t="str">
        <f aca="false">IF($D44="","",IFERROR(INDEX(Catálogo!$C$2:$C$200,MATCH($D44,Catálogo!$A$2:$A$200,0)),""))</f>
        <v/>
      </c>
      <c r="G44" s="8" t="str">
        <f aca="false">IF($D44="","",IFERROR(INDEX(Catálogo!$P$2:$P$200,MATCH($D44,Catálogo!$A$2:$A$200,0)),""))</f>
        <v/>
      </c>
      <c r="H44" s="13"/>
      <c r="I44" s="13"/>
      <c r="J44" s="13"/>
      <c r="K44" s="8" t="str">
        <f aca="false">IF($G44="","",IF($G44="Alta",3,IF($G44="Media",2,1))*10+COUNTIF($H44:$J44,"Sí"))</f>
        <v/>
      </c>
      <c r="L44" s="8" t="str">
        <f aca="false">IF($K44="","",COUNTIFS($B$5:$B$304,$B44,$K$5:$K$304,"&gt;"&amp;$K44)+1)</f>
        <v/>
      </c>
      <c r="M44" s="8" t="str">
        <f aca="false">IF($L44="","",IF($L44&lt;=25,"Sí","No"))</f>
        <v/>
      </c>
      <c r="N44" s="13"/>
    </row>
    <row r="45" customFormat="false" ht="15" hidden="false" customHeight="false" outlineLevel="0" collapsed="false">
      <c r="A45" s="13"/>
      <c r="B45" s="13"/>
      <c r="C45" s="13"/>
      <c r="D45" s="13"/>
      <c r="E45" s="8" t="str">
        <f aca="false">IF($D45="","",IFERROR(INDEX(Catálogo!$B$2:$B$200,MATCH($D45,Catálogo!$A$2:$A$200,0)),"ID no existe"))</f>
        <v/>
      </c>
      <c r="F45" s="8" t="str">
        <f aca="false">IF($D45="","",IFERROR(INDEX(Catálogo!$C$2:$C$200,MATCH($D45,Catálogo!$A$2:$A$200,0)),""))</f>
        <v/>
      </c>
      <c r="G45" s="8" t="str">
        <f aca="false">IF($D45="","",IFERROR(INDEX(Catálogo!$P$2:$P$200,MATCH($D45,Catálogo!$A$2:$A$200,0)),""))</f>
        <v/>
      </c>
      <c r="H45" s="13"/>
      <c r="I45" s="13"/>
      <c r="J45" s="13"/>
      <c r="K45" s="8" t="str">
        <f aca="false">IF($G45="","",IF($G45="Alta",3,IF($G45="Media",2,1))*10+COUNTIF($H45:$J45,"Sí"))</f>
        <v/>
      </c>
      <c r="L45" s="8" t="str">
        <f aca="false">IF($K45="","",COUNTIFS($B$5:$B$304,$B45,$K$5:$K$304,"&gt;"&amp;$K45)+1)</f>
        <v/>
      </c>
      <c r="M45" s="8" t="str">
        <f aca="false">IF($L45="","",IF($L45&lt;=25,"Sí","No"))</f>
        <v/>
      </c>
      <c r="N45" s="13"/>
    </row>
    <row r="46" customFormat="false" ht="15" hidden="false" customHeight="false" outlineLevel="0" collapsed="false">
      <c r="A46" s="13"/>
      <c r="B46" s="13"/>
      <c r="C46" s="13"/>
      <c r="D46" s="13"/>
      <c r="E46" s="8" t="str">
        <f aca="false">IF($D46="","",IFERROR(INDEX(Catálogo!$B$2:$B$200,MATCH($D46,Catálogo!$A$2:$A$200,0)),"ID no existe"))</f>
        <v/>
      </c>
      <c r="F46" s="8" t="str">
        <f aca="false">IF($D46="","",IFERROR(INDEX(Catálogo!$C$2:$C$200,MATCH($D46,Catálogo!$A$2:$A$200,0)),""))</f>
        <v/>
      </c>
      <c r="G46" s="8" t="str">
        <f aca="false">IF($D46="","",IFERROR(INDEX(Catálogo!$P$2:$P$200,MATCH($D46,Catálogo!$A$2:$A$200,0)),""))</f>
        <v/>
      </c>
      <c r="H46" s="13"/>
      <c r="I46" s="13"/>
      <c r="J46" s="13"/>
      <c r="K46" s="8" t="str">
        <f aca="false">IF($G46="","",IF($G46="Alta",3,IF($G46="Media",2,1))*10+COUNTIF($H46:$J46,"Sí"))</f>
        <v/>
      </c>
      <c r="L46" s="8" t="str">
        <f aca="false">IF($K46="","",COUNTIFS($B$5:$B$304,$B46,$K$5:$K$304,"&gt;"&amp;$K46)+1)</f>
        <v/>
      </c>
      <c r="M46" s="8" t="str">
        <f aca="false">IF($L46="","",IF($L46&lt;=25,"Sí","No"))</f>
        <v/>
      </c>
      <c r="N46" s="13"/>
    </row>
    <row r="47" customFormat="false" ht="15" hidden="false" customHeight="false" outlineLevel="0" collapsed="false">
      <c r="A47" s="13"/>
      <c r="B47" s="13"/>
      <c r="C47" s="13"/>
      <c r="D47" s="13"/>
      <c r="E47" s="8" t="str">
        <f aca="false">IF($D47="","",IFERROR(INDEX(Catálogo!$B$2:$B$200,MATCH($D47,Catálogo!$A$2:$A$200,0)),"ID no existe"))</f>
        <v/>
      </c>
      <c r="F47" s="8" t="str">
        <f aca="false">IF($D47="","",IFERROR(INDEX(Catálogo!$C$2:$C$200,MATCH($D47,Catálogo!$A$2:$A$200,0)),""))</f>
        <v/>
      </c>
      <c r="G47" s="8" t="str">
        <f aca="false">IF($D47="","",IFERROR(INDEX(Catálogo!$P$2:$P$200,MATCH($D47,Catálogo!$A$2:$A$200,0)),""))</f>
        <v/>
      </c>
      <c r="H47" s="13"/>
      <c r="I47" s="13"/>
      <c r="J47" s="13"/>
      <c r="K47" s="8" t="str">
        <f aca="false">IF($G47="","",IF($G47="Alta",3,IF($G47="Media",2,1))*10+COUNTIF($H47:$J47,"Sí"))</f>
        <v/>
      </c>
      <c r="L47" s="8" t="str">
        <f aca="false">IF($K47="","",COUNTIFS($B$5:$B$304,$B47,$K$5:$K$304,"&gt;"&amp;$K47)+1)</f>
        <v/>
      </c>
      <c r="M47" s="8" t="str">
        <f aca="false">IF($L47="","",IF($L47&lt;=25,"Sí","No"))</f>
        <v/>
      </c>
      <c r="N47" s="13"/>
    </row>
    <row r="48" customFormat="false" ht="15" hidden="false" customHeight="false" outlineLevel="0" collapsed="false">
      <c r="A48" s="13"/>
      <c r="B48" s="13"/>
      <c r="C48" s="13"/>
      <c r="D48" s="13"/>
      <c r="E48" s="8" t="str">
        <f aca="false">IF($D48="","",IFERROR(INDEX(Catálogo!$B$2:$B$200,MATCH($D48,Catálogo!$A$2:$A$200,0)),"ID no existe"))</f>
        <v/>
      </c>
      <c r="F48" s="8" t="str">
        <f aca="false">IF($D48="","",IFERROR(INDEX(Catálogo!$C$2:$C$200,MATCH($D48,Catálogo!$A$2:$A$200,0)),""))</f>
        <v/>
      </c>
      <c r="G48" s="8" t="str">
        <f aca="false">IF($D48="","",IFERROR(INDEX(Catálogo!$P$2:$P$200,MATCH($D48,Catálogo!$A$2:$A$200,0)),""))</f>
        <v/>
      </c>
      <c r="H48" s="13"/>
      <c r="I48" s="13"/>
      <c r="J48" s="13"/>
      <c r="K48" s="8" t="str">
        <f aca="false">IF($G48="","",IF($G48="Alta",3,IF($G48="Media",2,1))*10+COUNTIF($H48:$J48,"Sí"))</f>
        <v/>
      </c>
      <c r="L48" s="8" t="str">
        <f aca="false">IF($K48="","",COUNTIFS($B$5:$B$304,$B48,$K$5:$K$304,"&gt;"&amp;$K48)+1)</f>
        <v/>
      </c>
      <c r="M48" s="8" t="str">
        <f aca="false">IF($L48="","",IF($L48&lt;=25,"Sí","No"))</f>
        <v/>
      </c>
      <c r="N48" s="13"/>
    </row>
    <row r="49" customFormat="false" ht="15" hidden="false" customHeight="false" outlineLevel="0" collapsed="false">
      <c r="A49" s="13"/>
      <c r="B49" s="13"/>
      <c r="C49" s="13"/>
      <c r="D49" s="13"/>
      <c r="E49" s="8" t="str">
        <f aca="false">IF($D49="","",IFERROR(INDEX(Catálogo!$B$2:$B$200,MATCH($D49,Catálogo!$A$2:$A$200,0)),"ID no existe"))</f>
        <v/>
      </c>
      <c r="F49" s="8" t="str">
        <f aca="false">IF($D49="","",IFERROR(INDEX(Catálogo!$C$2:$C$200,MATCH($D49,Catálogo!$A$2:$A$200,0)),""))</f>
        <v/>
      </c>
      <c r="G49" s="8" t="str">
        <f aca="false">IF($D49="","",IFERROR(INDEX(Catálogo!$P$2:$P$200,MATCH($D49,Catálogo!$A$2:$A$200,0)),""))</f>
        <v/>
      </c>
      <c r="H49" s="13"/>
      <c r="I49" s="13"/>
      <c r="J49" s="13"/>
      <c r="K49" s="8" t="str">
        <f aca="false">IF($G49="","",IF($G49="Alta",3,IF($G49="Media",2,1))*10+COUNTIF($H49:$J49,"Sí"))</f>
        <v/>
      </c>
      <c r="L49" s="8" t="str">
        <f aca="false">IF($K49="","",COUNTIFS($B$5:$B$304,$B49,$K$5:$K$304,"&gt;"&amp;$K49)+1)</f>
        <v/>
      </c>
      <c r="M49" s="8" t="str">
        <f aca="false">IF($L49="","",IF($L49&lt;=25,"Sí","No"))</f>
        <v/>
      </c>
      <c r="N49" s="13"/>
    </row>
    <row r="50" customFormat="false" ht="15" hidden="false" customHeight="false" outlineLevel="0" collapsed="false">
      <c r="A50" s="13"/>
      <c r="B50" s="13"/>
      <c r="C50" s="13"/>
      <c r="D50" s="13"/>
      <c r="E50" s="8" t="str">
        <f aca="false">IF($D50="","",IFERROR(INDEX(Catálogo!$B$2:$B$200,MATCH($D50,Catálogo!$A$2:$A$200,0)),"ID no existe"))</f>
        <v/>
      </c>
      <c r="F50" s="8" t="str">
        <f aca="false">IF($D50="","",IFERROR(INDEX(Catálogo!$C$2:$C$200,MATCH($D50,Catálogo!$A$2:$A$200,0)),""))</f>
        <v/>
      </c>
      <c r="G50" s="8" t="str">
        <f aca="false">IF($D50="","",IFERROR(INDEX(Catálogo!$P$2:$P$200,MATCH($D50,Catálogo!$A$2:$A$200,0)),""))</f>
        <v/>
      </c>
      <c r="H50" s="13"/>
      <c r="I50" s="13"/>
      <c r="J50" s="13"/>
      <c r="K50" s="8" t="str">
        <f aca="false">IF($G50="","",IF($G50="Alta",3,IF($G50="Media",2,1))*10+COUNTIF($H50:$J50,"Sí"))</f>
        <v/>
      </c>
      <c r="L50" s="8" t="str">
        <f aca="false">IF($K50="","",COUNTIFS($B$5:$B$304,$B50,$K$5:$K$304,"&gt;"&amp;$K50)+1)</f>
        <v/>
      </c>
      <c r="M50" s="8" t="str">
        <f aca="false">IF($L50="","",IF($L50&lt;=25,"Sí","No"))</f>
        <v/>
      </c>
      <c r="N50" s="13"/>
    </row>
    <row r="51" customFormat="false" ht="15" hidden="false" customHeight="false" outlineLevel="0" collapsed="false">
      <c r="A51" s="13"/>
      <c r="B51" s="13"/>
      <c r="C51" s="13"/>
      <c r="D51" s="13"/>
      <c r="E51" s="8" t="str">
        <f aca="false">IF($D51="","",IFERROR(INDEX(Catálogo!$B$2:$B$200,MATCH($D51,Catálogo!$A$2:$A$200,0)),"ID no existe"))</f>
        <v/>
      </c>
      <c r="F51" s="8" t="str">
        <f aca="false">IF($D51="","",IFERROR(INDEX(Catálogo!$C$2:$C$200,MATCH($D51,Catálogo!$A$2:$A$200,0)),""))</f>
        <v/>
      </c>
      <c r="G51" s="8" t="str">
        <f aca="false">IF($D51="","",IFERROR(INDEX(Catálogo!$P$2:$P$200,MATCH($D51,Catálogo!$A$2:$A$200,0)),""))</f>
        <v/>
      </c>
      <c r="H51" s="13"/>
      <c r="I51" s="13"/>
      <c r="J51" s="13"/>
      <c r="K51" s="8" t="str">
        <f aca="false">IF($G51="","",IF($G51="Alta",3,IF($G51="Media",2,1))*10+COUNTIF($H51:$J51,"Sí"))</f>
        <v/>
      </c>
      <c r="L51" s="8" t="str">
        <f aca="false">IF($K51="","",COUNTIFS($B$5:$B$304,$B51,$K$5:$K$304,"&gt;"&amp;$K51)+1)</f>
        <v/>
      </c>
      <c r="M51" s="8" t="str">
        <f aca="false">IF($L51="","",IF($L51&lt;=25,"Sí","No"))</f>
        <v/>
      </c>
      <c r="N51" s="13"/>
    </row>
    <row r="52" customFormat="false" ht="15" hidden="false" customHeight="false" outlineLevel="0" collapsed="false">
      <c r="A52" s="13"/>
      <c r="B52" s="13"/>
      <c r="C52" s="13"/>
      <c r="D52" s="13"/>
      <c r="E52" s="8" t="str">
        <f aca="false">IF($D52="","",IFERROR(INDEX(Catálogo!$B$2:$B$200,MATCH($D52,Catálogo!$A$2:$A$200,0)),"ID no existe"))</f>
        <v/>
      </c>
      <c r="F52" s="8" t="str">
        <f aca="false">IF($D52="","",IFERROR(INDEX(Catálogo!$C$2:$C$200,MATCH($D52,Catálogo!$A$2:$A$200,0)),""))</f>
        <v/>
      </c>
      <c r="G52" s="8" t="str">
        <f aca="false">IF($D52="","",IFERROR(INDEX(Catálogo!$P$2:$P$200,MATCH($D52,Catálogo!$A$2:$A$200,0)),""))</f>
        <v/>
      </c>
      <c r="H52" s="13"/>
      <c r="I52" s="13"/>
      <c r="J52" s="13"/>
      <c r="K52" s="8" t="str">
        <f aca="false">IF($G52="","",IF($G52="Alta",3,IF($G52="Media",2,1))*10+COUNTIF($H52:$J52,"Sí"))</f>
        <v/>
      </c>
      <c r="L52" s="8" t="str">
        <f aca="false">IF($K52="","",COUNTIFS($B$5:$B$304,$B52,$K$5:$K$304,"&gt;"&amp;$K52)+1)</f>
        <v/>
      </c>
      <c r="M52" s="8" t="str">
        <f aca="false">IF($L52="","",IF($L52&lt;=25,"Sí","No"))</f>
        <v/>
      </c>
      <c r="N52" s="13"/>
    </row>
    <row r="53" customFormat="false" ht="15" hidden="false" customHeight="false" outlineLevel="0" collapsed="false">
      <c r="A53" s="13"/>
      <c r="B53" s="13"/>
      <c r="C53" s="13"/>
      <c r="D53" s="13"/>
      <c r="E53" s="8" t="str">
        <f aca="false">IF($D53="","",IFERROR(INDEX(Catálogo!$B$2:$B$200,MATCH($D53,Catálogo!$A$2:$A$200,0)),"ID no existe"))</f>
        <v/>
      </c>
      <c r="F53" s="8" t="str">
        <f aca="false">IF($D53="","",IFERROR(INDEX(Catálogo!$C$2:$C$200,MATCH($D53,Catálogo!$A$2:$A$200,0)),""))</f>
        <v/>
      </c>
      <c r="G53" s="8" t="str">
        <f aca="false">IF($D53="","",IFERROR(INDEX(Catálogo!$P$2:$P$200,MATCH($D53,Catálogo!$A$2:$A$200,0)),""))</f>
        <v/>
      </c>
      <c r="H53" s="13"/>
      <c r="I53" s="13"/>
      <c r="J53" s="13"/>
      <c r="K53" s="8" t="str">
        <f aca="false">IF($G53="","",IF($G53="Alta",3,IF($G53="Media",2,1))*10+COUNTIF($H53:$J53,"Sí"))</f>
        <v/>
      </c>
      <c r="L53" s="8" t="str">
        <f aca="false">IF($K53="","",COUNTIFS($B$5:$B$304,$B53,$K$5:$K$304,"&gt;"&amp;$K53)+1)</f>
        <v/>
      </c>
      <c r="M53" s="8" t="str">
        <f aca="false">IF($L53="","",IF($L53&lt;=25,"Sí","No"))</f>
        <v/>
      </c>
      <c r="N53" s="13"/>
    </row>
    <row r="54" customFormat="false" ht="15" hidden="false" customHeight="false" outlineLevel="0" collapsed="false">
      <c r="A54" s="13"/>
      <c r="B54" s="13"/>
      <c r="C54" s="13"/>
      <c r="D54" s="13"/>
      <c r="E54" s="8" t="str">
        <f aca="false">IF($D54="","",IFERROR(INDEX(Catálogo!$B$2:$B$200,MATCH($D54,Catálogo!$A$2:$A$200,0)),"ID no existe"))</f>
        <v/>
      </c>
      <c r="F54" s="8" t="str">
        <f aca="false">IF($D54="","",IFERROR(INDEX(Catálogo!$C$2:$C$200,MATCH($D54,Catálogo!$A$2:$A$200,0)),""))</f>
        <v/>
      </c>
      <c r="G54" s="8" t="str">
        <f aca="false">IF($D54="","",IFERROR(INDEX(Catálogo!$P$2:$P$200,MATCH($D54,Catálogo!$A$2:$A$200,0)),""))</f>
        <v/>
      </c>
      <c r="H54" s="13"/>
      <c r="I54" s="13"/>
      <c r="J54" s="13"/>
      <c r="K54" s="8" t="str">
        <f aca="false">IF($G54="","",IF($G54="Alta",3,IF($G54="Media",2,1))*10+COUNTIF($H54:$J54,"Sí"))</f>
        <v/>
      </c>
      <c r="L54" s="8" t="str">
        <f aca="false">IF($K54="","",COUNTIFS($B$5:$B$304,$B54,$K$5:$K$304,"&gt;"&amp;$K54)+1)</f>
        <v/>
      </c>
      <c r="M54" s="8" t="str">
        <f aca="false">IF($L54="","",IF($L54&lt;=25,"Sí","No"))</f>
        <v/>
      </c>
      <c r="N54" s="13"/>
    </row>
    <row r="55" customFormat="false" ht="15" hidden="false" customHeight="false" outlineLevel="0" collapsed="false">
      <c r="A55" s="13"/>
      <c r="B55" s="13"/>
      <c r="C55" s="13"/>
      <c r="D55" s="13"/>
      <c r="E55" s="8" t="str">
        <f aca="false">IF($D55="","",IFERROR(INDEX(Catálogo!$B$2:$B$200,MATCH($D55,Catálogo!$A$2:$A$200,0)),"ID no existe"))</f>
        <v/>
      </c>
      <c r="F55" s="8" t="str">
        <f aca="false">IF($D55="","",IFERROR(INDEX(Catálogo!$C$2:$C$200,MATCH($D55,Catálogo!$A$2:$A$200,0)),""))</f>
        <v/>
      </c>
      <c r="G55" s="8" t="str">
        <f aca="false">IF($D55="","",IFERROR(INDEX(Catálogo!$P$2:$P$200,MATCH($D55,Catálogo!$A$2:$A$200,0)),""))</f>
        <v/>
      </c>
      <c r="H55" s="13"/>
      <c r="I55" s="13"/>
      <c r="J55" s="13"/>
      <c r="K55" s="8" t="str">
        <f aca="false">IF($G55="","",IF($G55="Alta",3,IF($G55="Media",2,1))*10+COUNTIF($H55:$J55,"Sí"))</f>
        <v/>
      </c>
      <c r="L55" s="8" t="str">
        <f aca="false">IF($K55="","",COUNTIFS($B$5:$B$304,$B55,$K$5:$K$304,"&gt;"&amp;$K55)+1)</f>
        <v/>
      </c>
      <c r="M55" s="8" t="str">
        <f aca="false">IF($L55="","",IF($L55&lt;=25,"Sí","No"))</f>
        <v/>
      </c>
      <c r="N55" s="13"/>
    </row>
    <row r="56" customFormat="false" ht="15" hidden="false" customHeight="false" outlineLevel="0" collapsed="false">
      <c r="A56" s="13"/>
      <c r="B56" s="13"/>
      <c r="C56" s="13"/>
      <c r="D56" s="13"/>
      <c r="E56" s="8" t="str">
        <f aca="false">IF($D56="","",IFERROR(INDEX(Catálogo!$B$2:$B$200,MATCH($D56,Catálogo!$A$2:$A$200,0)),"ID no existe"))</f>
        <v/>
      </c>
      <c r="F56" s="8" t="str">
        <f aca="false">IF($D56="","",IFERROR(INDEX(Catálogo!$C$2:$C$200,MATCH($D56,Catálogo!$A$2:$A$200,0)),""))</f>
        <v/>
      </c>
      <c r="G56" s="8" t="str">
        <f aca="false">IF($D56="","",IFERROR(INDEX(Catálogo!$P$2:$P$200,MATCH($D56,Catálogo!$A$2:$A$200,0)),""))</f>
        <v/>
      </c>
      <c r="H56" s="13"/>
      <c r="I56" s="13"/>
      <c r="J56" s="13"/>
      <c r="K56" s="8" t="str">
        <f aca="false">IF($G56="","",IF($G56="Alta",3,IF($G56="Media",2,1))*10+COUNTIF($H56:$J56,"Sí"))</f>
        <v/>
      </c>
      <c r="L56" s="8" t="str">
        <f aca="false">IF($K56="","",COUNTIFS($B$5:$B$304,$B56,$K$5:$K$304,"&gt;"&amp;$K56)+1)</f>
        <v/>
      </c>
      <c r="M56" s="8" t="str">
        <f aca="false">IF($L56="","",IF($L56&lt;=25,"Sí","No"))</f>
        <v/>
      </c>
      <c r="N56" s="13"/>
    </row>
    <row r="57" customFormat="false" ht="15" hidden="false" customHeight="false" outlineLevel="0" collapsed="false">
      <c r="A57" s="13"/>
      <c r="B57" s="13"/>
      <c r="C57" s="13"/>
      <c r="D57" s="13"/>
      <c r="E57" s="8" t="str">
        <f aca="false">IF($D57="","",IFERROR(INDEX(Catálogo!$B$2:$B$200,MATCH($D57,Catálogo!$A$2:$A$200,0)),"ID no existe"))</f>
        <v/>
      </c>
      <c r="F57" s="8" t="str">
        <f aca="false">IF($D57="","",IFERROR(INDEX(Catálogo!$C$2:$C$200,MATCH($D57,Catálogo!$A$2:$A$200,0)),""))</f>
        <v/>
      </c>
      <c r="G57" s="8" t="str">
        <f aca="false">IF($D57="","",IFERROR(INDEX(Catálogo!$P$2:$P$200,MATCH($D57,Catálogo!$A$2:$A$200,0)),""))</f>
        <v/>
      </c>
      <c r="H57" s="13"/>
      <c r="I57" s="13"/>
      <c r="J57" s="13"/>
      <c r="K57" s="8" t="str">
        <f aca="false">IF($G57="","",IF($G57="Alta",3,IF($G57="Media",2,1))*10+COUNTIF($H57:$J57,"Sí"))</f>
        <v/>
      </c>
      <c r="L57" s="8" t="str">
        <f aca="false">IF($K57="","",COUNTIFS($B$5:$B$304,$B57,$K$5:$K$304,"&gt;"&amp;$K57)+1)</f>
        <v/>
      </c>
      <c r="M57" s="8" t="str">
        <f aca="false">IF($L57="","",IF($L57&lt;=25,"Sí","No"))</f>
        <v/>
      </c>
      <c r="N57" s="13"/>
    </row>
    <row r="58" customFormat="false" ht="15" hidden="false" customHeight="false" outlineLevel="0" collapsed="false">
      <c r="A58" s="13"/>
      <c r="B58" s="13"/>
      <c r="C58" s="13"/>
      <c r="D58" s="13"/>
      <c r="E58" s="8" t="str">
        <f aca="false">IF($D58="","",IFERROR(INDEX(Catálogo!$B$2:$B$200,MATCH($D58,Catálogo!$A$2:$A$200,0)),"ID no existe"))</f>
        <v/>
      </c>
      <c r="F58" s="8" t="str">
        <f aca="false">IF($D58="","",IFERROR(INDEX(Catálogo!$C$2:$C$200,MATCH($D58,Catálogo!$A$2:$A$200,0)),""))</f>
        <v/>
      </c>
      <c r="G58" s="8" t="str">
        <f aca="false">IF($D58="","",IFERROR(INDEX(Catálogo!$P$2:$P$200,MATCH($D58,Catálogo!$A$2:$A$200,0)),""))</f>
        <v/>
      </c>
      <c r="H58" s="13"/>
      <c r="I58" s="13"/>
      <c r="J58" s="13"/>
      <c r="K58" s="8" t="str">
        <f aca="false">IF($G58="","",IF($G58="Alta",3,IF($G58="Media",2,1))*10+COUNTIF($H58:$J58,"Sí"))</f>
        <v/>
      </c>
      <c r="L58" s="8" t="str">
        <f aca="false">IF($K58="","",COUNTIFS($B$5:$B$304,$B58,$K$5:$K$304,"&gt;"&amp;$K58)+1)</f>
        <v/>
      </c>
      <c r="M58" s="8" t="str">
        <f aca="false">IF($L58="","",IF($L58&lt;=25,"Sí","No"))</f>
        <v/>
      </c>
      <c r="N58" s="13"/>
    </row>
    <row r="59" customFormat="false" ht="15" hidden="false" customHeight="false" outlineLevel="0" collapsed="false">
      <c r="A59" s="13"/>
      <c r="B59" s="13"/>
      <c r="C59" s="13"/>
      <c r="D59" s="13"/>
      <c r="E59" s="8" t="str">
        <f aca="false">IF($D59="","",IFERROR(INDEX(Catálogo!$B$2:$B$200,MATCH($D59,Catálogo!$A$2:$A$200,0)),"ID no existe"))</f>
        <v/>
      </c>
      <c r="F59" s="8" t="str">
        <f aca="false">IF($D59="","",IFERROR(INDEX(Catálogo!$C$2:$C$200,MATCH($D59,Catálogo!$A$2:$A$200,0)),""))</f>
        <v/>
      </c>
      <c r="G59" s="8" t="str">
        <f aca="false">IF($D59="","",IFERROR(INDEX(Catálogo!$P$2:$P$200,MATCH($D59,Catálogo!$A$2:$A$200,0)),""))</f>
        <v/>
      </c>
      <c r="H59" s="13"/>
      <c r="I59" s="13"/>
      <c r="J59" s="13"/>
      <c r="K59" s="8" t="str">
        <f aca="false">IF($G59="","",IF($G59="Alta",3,IF($G59="Media",2,1))*10+COUNTIF($H59:$J59,"Sí"))</f>
        <v/>
      </c>
      <c r="L59" s="8" t="str">
        <f aca="false">IF($K59="","",COUNTIFS($B$5:$B$304,$B59,$K$5:$K$304,"&gt;"&amp;$K59)+1)</f>
        <v/>
      </c>
      <c r="M59" s="8" t="str">
        <f aca="false">IF($L59="","",IF($L59&lt;=25,"Sí","No"))</f>
        <v/>
      </c>
      <c r="N59" s="13"/>
    </row>
    <row r="60" customFormat="false" ht="15" hidden="false" customHeight="false" outlineLevel="0" collapsed="false">
      <c r="A60" s="13"/>
      <c r="B60" s="13"/>
      <c r="C60" s="13"/>
      <c r="D60" s="13"/>
      <c r="E60" s="8" t="str">
        <f aca="false">IF($D60="","",IFERROR(INDEX(Catálogo!$B$2:$B$200,MATCH($D60,Catálogo!$A$2:$A$200,0)),"ID no existe"))</f>
        <v/>
      </c>
      <c r="F60" s="8" t="str">
        <f aca="false">IF($D60="","",IFERROR(INDEX(Catálogo!$C$2:$C$200,MATCH($D60,Catálogo!$A$2:$A$200,0)),""))</f>
        <v/>
      </c>
      <c r="G60" s="8" t="str">
        <f aca="false">IF($D60="","",IFERROR(INDEX(Catálogo!$P$2:$P$200,MATCH($D60,Catálogo!$A$2:$A$200,0)),""))</f>
        <v/>
      </c>
      <c r="H60" s="13"/>
      <c r="I60" s="13"/>
      <c r="J60" s="13"/>
      <c r="K60" s="8" t="str">
        <f aca="false">IF($G60="","",IF($G60="Alta",3,IF($G60="Media",2,1))*10+COUNTIF($H60:$J60,"Sí"))</f>
        <v/>
      </c>
      <c r="L60" s="8" t="str">
        <f aca="false">IF($K60="","",COUNTIFS($B$5:$B$304,$B60,$K$5:$K$304,"&gt;"&amp;$K60)+1)</f>
        <v/>
      </c>
      <c r="M60" s="8" t="str">
        <f aca="false">IF($L60="","",IF($L60&lt;=25,"Sí","No"))</f>
        <v/>
      </c>
      <c r="N60" s="13"/>
    </row>
    <row r="61" customFormat="false" ht="15" hidden="false" customHeight="false" outlineLevel="0" collapsed="false">
      <c r="A61" s="13"/>
      <c r="B61" s="13"/>
      <c r="C61" s="13"/>
      <c r="D61" s="13"/>
      <c r="E61" s="8" t="str">
        <f aca="false">IF($D61="","",IFERROR(INDEX(Catálogo!$B$2:$B$200,MATCH($D61,Catálogo!$A$2:$A$200,0)),"ID no existe"))</f>
        <v/>
      </c>
      <c r="F61" s="8" t="str">
        <f aca="false">IF($D61="","",IFERROR(INDEX(Catálogo!$C$2:$C$200,MATCH($D61,Catálogo!$A$2:$A$200,0)),""))</f>
        <v/>
      </c>
      <c r="G61" s="8" t="str">
        <f aca="false">IF($D61="","",IFERROR(INDEX(Catálogo!$P$2:$P$200,MATCH($D61,Catálogo!$A$2:$A$200,0)),""))</f>
        <v/>
      </c>
      <c r="H61" s="13"/>
      <c r="I61" s="13"/>
      <c r="J61" s="13"/>
      <c r="K61" s="8" t="str">
        <f aca="false">IF($G61="","",IF($G61="Alta",3,IF($G61="Media",2,1))*10+COUNTIF($H61:$J61,"Sí"))</f>
        <v/>
      </c>
      <c r="L61" s="8" t="str">
        <f aca="false">IF($K61="","",COUNTIFS($B$5:$B$304,$B61,$K$5:$K$304,"&gt;"&amp;$K61)+1)</f>
        <v/>
      </c>
      <c r="M61" s="8" t="str">
        <f aca="false">IF($L61="","",IF($L61&lt;=25,"Sí","No"))</f>
        <v/>
      </c>
      <c r="N61" s="13"/>
    </row>
    <row r="62" customFormat="false" ht="15" hidden="false" customHeight="false" outlineLevel="0" collapsed="false">
      <c r="A62" s="13"/>
      <c r="B62" s="13"/>
      <c r="C62" s="13"/>
      <c r="D62" s="13"/>
      <c r="E62" s="8" t="str">
        <f aca="false">IF($D62="","",IFERROR(INDEX(Catálogo!$B$2:$B$200,MATCH($D62,Catálogo!$A$2:$A$200,0)),"ID no existe"))</f>
        <v/>
      </c>
      <c r="F62" s="8" t="str">
        <f aca="false">IF($D62="","",IFERROR(INDEX(Catálogo!$C$2:$C$200,MATCH($D62,Catálogo!$A$2:$A$200,0)),""))</f>
        <v/>
      </c>
      <c r="G62" s="8" t="str">
        <f aca="false">IF($D62="","",IFERROR(INDEX(Catálogo!$P$2:$P$200,MATCH($D62,Catálogo!$A$2:$A$200,0)),""))</f>
        <v/>
      </c>
      <c r="H62" s="13"/>
      <c r="I62" s="13"/>
      <c r="J62" s="13"/>
      <c r="K62" s="8" t="str">
        <f aca="false">IF($G62="","",IF($G62="Alta",3,IF($G62="Media",2,1))*10+COUNTIF($H62:$J62,"Sí"))</f>
        <v/>
      </c>
      <c r="L62" s="8" t="str">
        <f aca="false">IF($K62="","",COUNTIFS($B$5:$B$304,$B62,$K$5:$K$304,"&gt;"&amp;$K62)+1)</f>
        <v/>
      </c>
      <c r="M62" s="8" t="str">
        <f aca="false">IF($L62="","",IF($L62&lt;=25,"Sí","No"))</f>
        <v/>
      </c>
      <c r="N62" s="13"/>
    </row>
    <row r="63" customFormat="false" ht="15" hidden="false" customHeight="false" outlineLevel="0" collapsed="false">
      <c r="A63" s="13"/>
      <c r="B63" s="13"/>
      <c r="C63" s="13"/>
      <c r="D63" s="13"/>
      <c r="E63" s="8" t="str">
        <f aca="false">IF($D63="","",IFERROR(INDEX(Catálogo!$B$2:$B$200,MATCH($D63,Catálogo!$A$2:$A$200,0)),"ID no existe"))</f>
        <v/>
      </c>
      <c r="F63" s="8" t="str">
        <f aca="false">IF($D63="","",IFERROR(INDEX(Catálogo!$C$2:$C$200,MATCH($D63,Catálogo!$A$2:$A$200,0)),""))</f>
        <v/>
      </c>
      <c r="G63" s="8" t="str">
        <f aca="false">IF($D63="","",IFERROR(INDEX(Catálogo!$P$2:$P$200,MATCH($D63,Catálogo!$A$2:$A$200,0)),""))</f>
        <v/>
      </c>
      <c r="H63" s="13"/>
      <c r="I63" s="13"/>
      <c r="J63" s="13"/>
      <c r="K63" s="8" t="str">
        <f aca="false">IF($G63="","",IF($G63="Alta",3,IF($G63="Media",2,1))*10+COUNTIF($H63:$J63,"Sí"))</f>
        <v/>
      </c>
      <c r="L63" s="8" t="str">
        <f aca="false">IF($K63="","",COUNTIFS($B$5:$B$304,$B63,$K$5:$K$304,"&gt;"&amp;$K63)+1)</f>
        <v/>
      </c>
      <c r="M63" s="8" t="str">
        <f aca="false">IF($L63="","",IF($L63&lt;=25,"Sí","No"))</f>
        <v/>
      </c>
      <c r="N63" s="13"/>
    </row>
    <row r="64" customFormat="false" ht="15" hidden="false" customHeight="false" outlineLevel="0" collapsed="false">
      <c r="A64" s="13"/>
      <c r="B64" s="13"/>
      <c r="C64" s="13"/>
      <c r="D64" s="13"/>
      <c r="E64" s="8" t="str">
        <f aca="false">IF($D64="","",IFERROR(INDEX(Catálogo!$B$2:$B$200,MATCH($D64,Catálogo!$A$2:$A$200,0)),"ID no existe"))</f>
        <v/>
      </c>
      <c r="F64" s="8" t="str">
        <f aca="false">IF($D64="","",IFERROR(INDEX(Catálogo!$C$2:$C$200,MATCH($D64,Catálogo!$A$2:$A$200,0)),""))</f>
        <v/>
      </c>
      <c r="G64" s="8" t="str">
        <f aca="false">IF($D64="","",IFERROR(INDEX(Catálogo!$P$2:$P$200,MATCH($D64,Catálogo!$A$2:$A$200,0)),""))</f>
        <v/>
      </c>
      <c r="H64" s="13"/>
      <c r="I64" s="13"/>
      <c r="J64" s="13"/>
      <c r="K64" s="8" t="str">
        <f aca="false">IF($G64="","",IF($G64="Alta",3,IF($G64="Media",2,1))*10+COUNTIF($H64:$J64,"Sí"))</f>
        <v/>
      </c>
      <c r="L64" s="8" t="str">
        <f aca="false">IF($K64="","",COUNTIFS($B$5:$B$304,$B64,$K$5:$K$304,"&gt;"&amp;$K64)+1)</f>
        <v/>
      </c>
      <c r="M64" s="8" t="str">
        <f aca="false">IF($L64="","",IF($L64&lt;=25,"Sí","No"))</f>
        <v/>
      </c>
      <c r="N64" s="13"/>
    </row>
    <row r="65" customFormat="false" ht="15" hidden="false" customHeight="false" outlineLevel="0" collapsed="false">
      <c r="A65" s="13"/>
      <c r="B65" s="13"/>
      <c r="C65" s="13"/>
      <c r="D65" s="13"/>
      <c r="E65" s="8" t="str">
        <f aca="false">IF($D65="","",IFERROR(INDEX(Catálogo!$B$2:$B$200,MATCH($D65,Catálogo!$A$2:$A$200,0)),"ID no existe"))</f>
        <v/>
      </c>
      <c r="F65" s="8" t="str">
        <f aca="false">IF($D65="","",IFERROR(INDEX(Catálogo!$C$2:$C$200,MATCH($D65,Catálogo!$A$2:$A$200,0)),""))</f>
        <v/>
      </c>
      <c r="G65" s="8" t="str">
        <f aca="false">IF($D65="","",IFERROR(INDEX(Catálogo!$P$2:$P$200,MATCH($D65,Catálogo!$A$2:$A$200,0)),""))</f>
        <v/>
      </c>
      <c r="H65" s="13"/>
      <c r="I65" s="13"/>
      <c r="J65" s="13"/>
      <c r="K65" s="8" t="str">
        <f aca="false">IF($G65="","",IF($G65="Alta",3,IF($G65="Media",2,1))*10+COUNTIF($H65:$J65,"Sí"))</f>
        <v/>
      </c>
      <c r="L65" s="8" t="str">
        <f aca="false">IF($K65="","",COUNTIFS($B$5:$B$304,$B65,$K$5:$K$304,"&gt;"&amp;$K65)+1)</f>
        <v/>
      </c>
      <c r="M65" s="8" t="str">
        <f aca="false">IF($L65="","",IF($L65&lt;=25,"Sí","No"))</f>
        <v/>
      </c>
      <c r="N65" s="13"/>
    </row>
    <row r="66" customFormat="false" ht="15" hidden="false" customHeight="false" outlineLevel="0" collapsed="false">
      <c r="A66" s="13"/>
      <c r="B66" s="13"/>
      <c r="C66" s="13"/>
      <c r="D66" s="13"/>
      <c r="E66" s="8" t="str">
        <f aca="false">IF($D66="","",IFERROR(INDEX(Catálogo!$B$2:$B$200,MATCH($D66,Catálogo!$A$2:$A$200,0)),"ID no existe"))</f>
        <v/>
      </c>
      <c r="F66" s="8" t="str">
        <f aca="false">IF($D66="","",IFERROR(INDEX(Catálogo!$C$2:$C$200,MATCH($D66,Catálogo!$A$2:$A$200,0)),""))</f>
        <v/>
      </c>
      <c r="G66" s="8" t="str">
        <f aca="false">IF($D66="","",IFERROR(INDEX(Catálogo!$P$2:$P$200,MATCH($D66,Catálogo!$A$2:$A$200,0)),""))</f>
        <v/>
      </c>
      <c r="H66" s="13"/>
      <c r="I66" s="13"/>
      <c r="J66" s="13"/>
      <c r="K66" s="8" t="str">
        <f aca="false">IF($G66="","",IF($G66="Alta",3,IF($G66="Media",2,1))*10+COUNTIF($H66:$J66,"Sí"))</f>
        <v/>
      </c>
      <c r="L66" s="8" t="str">
        <f aca="false">IF($K66="","",COUNTIFS($B$5:$B$304,$B66,$K$5:$K$304,"&gt;"&amp;$K66)+1)</f>
        <v/>
      </c>
      <c r="M66" s="8" t="str">
        <f aca="false">IF($L66="","",IF($L66&lt;=25,"Sí","No"))</f>
        <v/>
      </c>
      <c r="N66" s="13"/>
    </row>
    <row r="67" customFormat="false" ht="15" hidden="false" customHeight="false" outlineLevel="0" collapsed="false">
      <c r="A67" s="13"/>
      <c r="B67" s="13"/>
      <c r="C67" s="13"/>
      <c r="D67" s="13"/>
      <c r="E67" s="8" t="str">
        <f aca="false">IF($D67="","",IFERROR(INDEX(Catálogo!$B$2:$B$200,MATCH($D67,Catálogo!$A$2:$A$200,0)),"ID no existe"))</f>
        <v/>
      </c>
      <c r="F67" s="8" t="str">
        <f aca="false">IF($D67="","",IFERROR(INDEX(Catálogo!$C$2:$C$200,MATCH($D67,Catálogo!$A$2:$A$200,0)),""))</f>
        <v/>
      </c>
      <c r="G67" s="8" t="str">
        <f aca="false">IF($D67="","",IFERROR(INDEX(Catálogo!$P$2:$P$200,MATCH($D67,Catálogo!$A$2:$A$200,0)),""))</f>
        <v/>
      </c>
      <c r="H67" s="13"/>
      <c r="I67" s="13"/>
      <c r="J67" s="13"/>
      <c r="K67" s="8" t="str">
        <f aca="false">IF($G67="","",IF($G67="Alta",3,IF($G67="Media",2,1))*10+COUNTIF($H67:$J67,"Sí"))</f>
        <v/>
      </c>
      <c r="L67" s="8" t="str">
        <f aca="false">IF($K67="","",COUNTIFS($B$5:$B$304,$B67,$K$5:$K$304,"&gt;"&amp;$K67)+1)</f>
        <v/>
      </c>
      <c r="M67" s="8" t="str">
        <f aca="false">IF($L67="","",IF($L67&lt;=25,"Sí","No"))</f>
        <v/>
      </c>
      <c r="N67" s="13"/>
    </row>
    <row r="68" customFormat="false" ht="15" hidden="false" customHeight="false" outlineLevel="0" collapsed="false">
      <c r="A68" s="13"/>
      <c r="B68" s="13"/>
      <c r="C68" s="13"/>
      <c r="D68" s="13"/>
      <c r="E68" s="8" t="str">
        <f aca="false">IF($D68="","",IFERROR(INDEX(Catálogo!$B$2:$B$200,MATCH($D68,Catálogo!$A$2:$A$200,0)),"ID no existe"))</f>
        <v/>
      </c>
      <c r="F68" s="8" t="str">
        <f aca="false">IF($D68="","",IFERROR(INDEX(Catálogo!$C$2:$C$200,MATCH($D68,Catálogo!$A$2:$A$200,0)),""))</f>
        <v/>
      </c>
      <c r="G68" s="8" t="str">
        <f aca="false">IF($D68="","",IFERROR(INDEX(Catálogo!$P$2:$P$200,MATCH($D68,Catálogo!$A$2:$A$200,0)),""))</f>
        <v/>
      </c>
      <c r="H68" s="13"/>
      <c r="I68" s="13"/>
      <c r="J68" s="13"/>
      <c r="K68" s="8" t="str">
        <f aca="false">IF($G68="","",IF($G68="Alta",3,IF($G68="Media",2,1))*10+COUNTIF($H68:$J68,"Sí"))</f>
        <v/>
      </c>
      <c r="L68" s="8" t="str">
        <f aca="false">IF($K68="","",COUNTIFS($B$5:$B$304,$B68,$K$5:$K$304,"&gt;"&amp;$K68)+1)</f>
        <v/>
      </c>
      <c r="M68" s="8" t="str">
        <f aca="false">IF($L68="","",IF($L68&lt;=25,"Sí","No"))</f>
        <v/>
      </c>
      <c r="N68" s="13"/>
    </row>
    <row r="69" customFormat="false" ht="15" hidden="false" customHeight="false" outlineLevel="0" collapsed="false">
      <c r="A69" s="13"/>
      <c r="B69" s="13"/>
      <c r="C69" s="13"/>
      <c r="D69" s="13"/>
      <c r="E69" s="8" t="str">
        <f aca="false">IF($D69="","",IFERROR(INDEX(Catálogo!$B$2:$B$200,MATCH($D69,Catálogo!$A$2:$A$200,0)),"ID no existe"))</f>
        <v/>
      </c>
      <c r="F69" s="8" t="str">
        <f aca="false">IF($D69="","",IFERROR(INDEX(Catálogo!$C$2:$C$200,MATCH($D69,Catálogo!$A$2:$A$200,0)),""))</f>
        <v/>
      </c>
      <c r="G69" s="8" t="str">
        <f aca="false">IF($D69="","",IFERROR(INDEX(Catálogo!$P$2:$P$200,MATCH($D69,Catálogo!$A$2:$A$200,0)),""))</f>
        <v/>
      </c>
      <c r="H69" s="13"/>
      <c r="I69" s="13"/>
      <c r="J69" s="13"/>
      <c r="K69" s="8" t="str">
        <f aca="false">IF($G69="","",IF($G69="Alta",3,IF($G69="Media",2,1))*10+COUNTIF($H69:$J69,"Sí"))</f>
        <v/>
      </c>
      <c r="L69" s="8" t="str">
        <f aca="false">IF($K69="","",COUNTIFS($B$5:$B$304,$B69,$K$5:$K$304,"&gt;"&amp;$K69)+1)</f>
        <v/>
      </c>
      <c r="M69" s="8" t="str">
        <f aca="false">IF($L69="","",IF($L69&lt;=25,"Sí","No"))</f>
        <v/>
      </c>
      <c r="N69" s="13"/>
    </row>
    <row r="70" customFormat="false" ht="15" hidden="false" customHeight="false" outlineLevel="0" collapsed="false">
      <c r="A70" s="13"/>
      <c r="B70" s="13"/>
      <c r="C70" s="13"/>
      <c r="D70" s="13"/>
      <c r="E70" s="8" t="str">
        <f aca="false">IF($D70="","",IFERROR(INDEX(Catálogo!$B$2:$B$200,MATCH($D70,Catálogo!$A$2:$A$200,0)),"ID no existe"))</f>
        <v/>
      </c>
      <c r="F70" s="8" t="str">
        <f aca="false">IF($D70="","",IFERROR(INDEX(Catálogo!$C$2:$C$200,MATCH($D70,Catálogo!$A$2:$A$200,0)),""))</f>
        <v/>
      </c>
      <c r="G70" s="8" t="str">
        <f aca="false">IF($D70="","",IFERROR(INDEX(Catálogo!$P$2:$P$200,MATCH($D70,Catálogo!$A$2:$A$200,0)),""))</f>
        <v/>
      </c>
      <c r="H70" s="13"/>
      <c r="I70" s="13"/>
      <c r="J70" s="13"/>
      <c r="K70" s="8" t="str">
        <f aca="false">IF($G70="","",IF($G70="Alta",3,IF($G70="Media",2,1))*10+COUNTIF($H70:$J70,"Sí"))</f>
        <v/>
      </c>
      <c r="L70" s="8" t="str">
        <f aca="false">IF($K70="","",COUNTIFS($B$5:$B$304,$B70,$K$5:$K$304,"&gt;"&amp;$K70)+1)</f>
        <v/>
      </c>
      <c r="M70" s="8" t="str">
        <f aca="false">IF($L70="","",IF($L70&lt;=25,"Sí","No"))</f>
        <v/>
      </c>
      <c r="N70" s="13"/>
    </row>
    <row r="71" customFormat="false" ht="15" hidden="false" customHeight="false" outlineLevel="0" collapsed="false">
      <c r="A71" s="13"/>
      <c r="B71" s="13"/>
      <c r="C71" s="13"/>
      <c r="D71" s="13"/>
      <c r="E71" s="8" t="str">
        <f aca="false">IF($D71="","",IFERROR(INDEX(Catálogo!$B$2:$B$200,MATCH($D71,Catálogo!$A$2:$A$200,0)),"ID no existe"))</f>
        <v/>
      </c>
      <c r="F71" s="8" t="str">
        <f aca="false">IF($D71="","",IFERROR(INDEX(Catálogo!$C$2:$C$200,MATCH($D71,Catálogo!$A$2:$A$200,0)),""))</f>
        <v/>
      </c>
      <c r="G71" s="8" t="str">
        <f aca="false">IF($D71="","",IFERROR(INDEX(Catálogo!$P$2:$P$200,MATCH($D71,Catálogo!$A$2:$A$200,0)),""))</f>
        <v/>
      </c>
      <c r="H71" s="13"/>
      <c r="I71" s="13"/>
      <c r="J71" s="13"/>
      <c r="K71" s="8" t="str">
        <f aca="false">IF($G71="","",IF($G71="Alta",3,IF($G71="Media",2,1))*10+COUNTIF($H71:$J71,"Sí"))</f>
        <v/>
      </c>
      <c r="L71" s="8" t="str">
        <f aca="false">IF($K71="","",COUNTIFS($B$5:$B$304,$B71,$K$5:$K$304,"&gt;"&amp;$K71)+1)</f>
        <v/>
      </c>
      <c r="M71" s="8" t="str">
        <f aca="false">IF($L71="","",IF($L71&lt;=25,"Sí","No"))</f>
        <v/>
      </c>
      <c r="N71" s="13"/>
    </row>
    <row r="72" customFormat="false" ht="15" hidden="false" customHeight="false" outlineLevel="0" collapsed="false">
      <c r="A72" s="13"/>
      <c r="B72" s="13"/>
      <c r="C72" s="13"/>
      <c r="D72" s="13"/>
      <c r="E72" s="8" t="str">
        <f aca="false">IF($D72="","",IFERROR(INDEX(Catálogo!$B$2:$B$200,MATCH($D72,Catálogo!$A$2:$A$200,0)),"ID no existe"))</f>
        <v/>
      </c>
      <c r="F72" s="8" t="str">
        <f aca="false">IF($D72="","",IFERROR(INDEX(Catálogo!$C$2:$C$200,MATCH($D72,Catálogo!$A$2:$A$200,0)),""))</f>
        <v/>
      </c>
      <c r="G72" s="8" t="str">
        <f aca="false">IF($D72="","",IFERROR(INDEX(Catálogo!$P$2:$P$200,MATCH($D72,Catálogo!$A$2:$A$200,0)),""))</f>
        <v/>
      </c>
      <c r="H72" s="13"/>
      <c r="I72" s="13"/>
      <c r="J72" s="13"/>
      <c r="K72" s="8" t="str">
        <f aca="false">IF($G72="","",IF($G72="Alta",3,IF($G72="Media",2,1))*10+COUNTIF($H72:$J72,"Sí"))</f>
        <v/>
      </c>
      <c r="L72" s="8" t="str">
        <f aca="false">IF($K72="","",COUNTIFS($B$5:$B$304,$B72,$K$5:$K$304,"&gt;"&amp;$K72)+1)</f>
        <v/>
      </c>
      <c r="M72" s="8" t="str">
        <f aca="false">IF($L72="","",IF($L72&lt;=25,"Sí","No"))</f>
        <v/>
      </c>
      <c r="N72" s="13"/>
    </row>
    <row r="73" customFormat="false" ht="15" hidden="false" customHeight="false" outlineLevel="0" collapsed="false">
      <c r="A73" s="13"/>
      <c r="B73" s="13"/>
      <c r="C73" s="13"/>
      <c r="D73" s="13"/>
      <c r="E73" s="8" t="str">
        <f aca="false">IF($D73="","",IFERROR(INDEX(Catálogo!$B$2:$B$200,MATCH($D73,Catálogo!$A$2:$A$200,0)),"ID no existe"))</f>
        <v/>
      </c>
      <c r="F73" s="8" t="str">
        <f aca="false">IF($D73="","",IFERROR(INDEX(Catálogo!$C$2:$C$200,MATCH($D73,Catálogo!$A$2:$A$200,0)),""))</f>
        <v/>
      </c>
      <c r="G73" s="8" t="str">
        <f aca="false">IF($D73="","",IFERROR(INDEX(Catálogo!$P$2:$P$200,MATCH($D73,Catálogo!$A$2:$A$200,0)),""))</f>
        <v/>
      </c>
      <c r="H73" s="13"/>
      <c r="I73" s="13"/>
      <c r="J73" s="13"/>
      <c r="K73" s="8" t="str">
        <f aca="false">IF($G73="","",IF($G73="Alta",3,IF($G73="Media",2,1))*10+COUNTIF($H73:$J73,"Sí"))</f>
        <v/>
      </c>
      <c r="L73" s="8" t="str">
        <f aca="false">IF($K73="","",COUNTIFS($B$5:$B$304,$B73,$K$5:$K$304,"&gt;"&amp;$K73)+1)</f>
        <v/>
      </c>
      <c r="M73" s="8" t="str">
        <f aca="false">IF($L73="","",IF($L73&lt;=25,"Sí","No"))</f>
        <v/>
      </c>
      <c r="N73" s="13"/>
    </row>
    <row r="74" customFormat="false" ht="15" hidden="false" customHeight="false" outlineLevel="0" collapsed="false">
      <c r="A74" s="13"/>
      <c r="B74" s="13"/>
      <c r="C74" s="13"/>
      <c r="D74" s="13"/>
      <c r="E74" s="8" t="str">
        <f aca="false">IF($D74="","",IFERROR(INDEX(Catálogo!$B$2:$B$200,MATCH($D74,Catálogo!$A$2:$A$200,0)),"ID no existe"))</f>
        <v/>
      </c>
      <c r="F74" s="8" t="str">
        <f aca="false">IF($D74="","",IFERROR(INDEX(Catálogo!$C$2:$C$200,MATCH($D74,Catálogo!$A$2:$A$200,0)),""))</f>
        <v/>
      </c>
      <c r="G74" s="8" t="str">
        <f aca="false">IF($D74="","",IFERROR(INDEX(Catálogo!$P$2:$P$200,MATCH($D74,Catálogo!$A$2:$A$200,0)),""))</f>
        <v/>
      </c>
      <c r="H74" s="13"/>
      <c r="I74" s="13"/>
      <c r="J74" s="13"/>
      <c r="K74" s="8" t="str">
        <f aca="false">IF($G74="","",IF($G74="Alta",3,IF($G74="Media",2,1))*10+COUNTIF($H74:$J74,"Sí"))</f>
        <v/>
      </c>
      <c r="L74" s="8" t="str">
        <f aca="false">IF($K74="","",COUNTIFS($B$5:$B$304,$B74,$K$5:$K$304,"&gt;"&amp;$K74)+1)</f>
        <v/>
      </c>
      <c r="M74" s="8" t="str">
        <f aca="false">IF($L74="","",IF($L74&lt;=25,"Sí","No"))</f>
        <v/>
      </c>
      <c r="N74" s="13"/>
    </row>
    <row r="75" customFormat="false" ht="15" hidden="false" customHeight="false" outlineLevel="0" collapsed="false">
      <c r="A75" s="13"/>
      <c r="B75" s="13"/>
      <c r="C75" s="13"/>
      <c r="D75" s="13"/>
      <c r="E75" s="8" t="str">
        <f aca="false">IF($D75="","",IFERROR(INDEX(Catálogo!$B$2:$B$200,MATCH($D75,Catálogo!$A$2:$A$200,0)),"ID no existe"))</f>
        <v/>
      </c>
      <c r="F75" s="8" t="str">
        <f aca="false">IF($D75="","",IFERROR(INDEX(Catálogo!$C$2:$C$200,MATCH($D75,Catálogo!$A$2:$A$200,0)),""))</f>
        <v/>
      </c>
      <c r="G75" s="8" t="str">
        <f aca="false">IF($D75="","",IFERROR(INDEX(Catálogo!$P$2:$P$200,MATCH($D75,Catálogo!$A$2:$A$200,0)),""))</f>
        <v/>
      </c>
      <c r="H75" s="13"/>
      <c r="I75" s="13"/>
      <c r="J75" s="13"/>
      <c r="K75" s="8" t="str">
        <f aca="false">IF($G75="","",IF($G75="Alta",3,IF($G75="Media",2,1))*10+COUNTIF($H75:$J75,"Sí"))</f>
        <v/>
      </c>
      <c r="L75" s="8" t="str">
        <f aca="false">IF($K75="","",COUNTIFS($B$5:$B$304,$B75,$K$5:$K$304,"&gt;"&amp;$K75)+1)</f>
        <v/>
      </c>
      <c r="M75" s="8" t="str">
        <f aca="false">IF($L75="","",IF($L75&lt;=25,"Sí","No"))</f>
        <v/>
      </c>
      <c r="N75" s="13"/>
    </row>
    <row r="76" customFormat="false" ht="15" hidden="false" customHeight="false" outlineLevel="0" collapsed="false">
      <c r="A76" s="13"/>
      <c r="B76" s="13"/>
      <c r="C76" s="13"/>
      <c r="D76" s="13"/>
      <c r="E76" s="8" t="str">
        <f aca="false">IF($D76="","",IFERROR(INDEX(Catálogo!$B$2:$B$200,MATCH($D76,Catálogo!$A$2:$A$200,0)),"ID no existe"))</f>
        <v/>
      </c>
      <c r="F76" s="8" t="str">
        <f aca="false">IF($D76="","",IFERROR(INDEX(Catálogo!$C$2:$C$200,MATCH($D76,Catálogo!$A$2:$A$200,0)),""))</f>
        <v/>
      </c>
      <c r="G76" s="8" t="str">
        <f aca="false">IF($D76="","",IFERROR(INDEX(Catálogo!$P$2:$P$200,MATCH($D76,Catálogo!$A$2:$A$200,0)),""))</f>
        <v/>
      </c>
      <c r="H76" s="13"/>
      <c r="I76" s="13"/>
      <c r="J76" s="13"/>
      <c r="K76" s="8" t="str">
        <f aca="false">IF($G76="","",IF($G76="Alta",3,IF($G76="Media",2,1))*10+COUNTIF($H76:$J76,"Sí"))</f>
        <v/>
      </c>
      <c r="L76" s="8" t="str">
        <f aca="false">IF($K76="","",COUNTIFS($B$5:$B$304,$B76,$K$5:$K$304,"&gt;"&amp;$K76)+1)</f>
        <v/>
      </c>
      <c r="M76" s="8" t="str">
        <f aca="false">IF($L76="","",IF($L76&lt;=25,"Sí","No"))</f>
        <v/>
      </c>
      <c r="N76" s="13"/>
    </row>
    <row r="77" customFormat="false" ht="15" hidden="false" customHeight="false" outlineLevel="0" collapsed="false">
      <c r="A77" s="13"/>
      <c r="B77" s="13"/>
      <c r="C77" s="13"/>
      <c r="D77" s="13"/>
      <c r="E77" s="8" t="str">
        <f aca="false">IF($D77="","",IFERROR(INDEX(Catálogo!$B$2:$B$200,MATCH($D77,Catálogo!$A$2:$A$200,0)),"ID no existe"))</f>
        <v/>
      </c>
      <c r="F77" s="8" t="str">
        <f aca="false">IF($D77="","",IFERROR(INDEX(Catálogo!$C$2:$C$200,MATCH($D77,Catálogo!$A$2:$A$200,0)),""))</f>
        <v/>
      </c>
      <c r="G77" s="8" t="str">
        <f aca="false">IF($D77="","",IFERROR(INDEX(Catálogo!$P$2:$P$200,MATCH($D77,Catálogo!$A$2:$A$200,0)),""))</f>
        <v/>
      </c>
      <c r="H77" s="13"/>
      <c r="I77" s="13"/>
      <c r="J77" s="13"/>
      <c r="K77" s="8" t="str">
        <f aca="false">IF($G77="","",IF($G77="Alta",3,IF($G77="Media",2,1))*10+COUNTIF($H77:$J77,"Sí"))</f>
        <v/>
      </c>
      <c r="L77" s="8" t="str">
        <f aca="false">IF($K77="","",COUNTIFS($B$5:$B$304,$B77,$K$5:$K$304,"&gt;"&amp;$K77)+1)</f>
        <v/>
      </c>
      <c r="M77" s="8" t="str">
        <f aca="false">IF($L77="","",IF($L77&lt;=25,"Sí","No"))</f>
        <v/>
      </c>
      <c r="N77" s="13"/>
    </row>
    <row r="78" customFormat="false" ht="15" hidden="false" customHeight="false" outlineLevel="0" collapsed="false">
      <c r="A78" s="13"/>
      <c r="B78" s="13"/>
      <c r="C78" s="13"/>
      <c r="D78" s="13"/>
      <c r="E78" s="8" t="str">
        <f aca="false">IF($D78="","",IFERROR(INDEX(Catálogo!$B$2:$B$200,MATCH($D78,Catálogo!$A$2:$A$200,0)),"ID no existe"))</f>
        <v/>
      </c>
      <c r="F78" s="8" t="str">
        <f aca="false">IF($D78="","",IFERROR(INDEX(Catálogo!$C$2:$C$200,MATCH($D78,Catálogo!$A$2:$A$200,0)),""))</f>
        <v/>
      </c>
      <c r="G78" s="8" t="str">
        <f aca="false">IF($D78="","",IFERROR(INDEX(Catálogo!$P$2:$P$200,MATCH($D78,Catálogo!$A$2:$A$200,0)),""))</f>
        <v/>
      </c>
      <c r="H78" s="13"/>
      <c r="I78" s="13"/>
      <c r="J78" s="13"/>
      <c r="K78" s="8" t="str">
        <f aca="false">IF($G78="","",IF($G78="Alta",3,IF($G78="Media",2,1))*10+COUNTIF($H78:$J78,"Sí"))</f>
        <v/>
      </c>
      <c r="L78" s="8" t="str">
        <f aca="false">IF($K78="","",COUNTIFS($B$5:$B$304,$B78,$K$5:$K$304,"&gt;"&amp;$K78)+1)</f>
        <v/>
      </c>
      <c r="M78" s="8" t="str">
        <f aca="false">IF($L78="","",IF($L78&lt;=25,"Sí","No"))</f>
        <v/>
      </c>
      <c r="N78" s="13"/>
    </row>
    <row r="79" customFormat="false" ht="15" hidden="false" customHeight="false" outlineLevel="0" collapsed="false">
      <c r="A79" s="13"/>
      <c r="B79" s="13"/>
      <c r="C79" s="13"/>
      <c r="D79" s="13"/>
      <c r="E79" s="8" t="str">
        <f aca="false">IF($D79="","",IFERROR(INDEX(Catálogo!$B$2:$B$200,MATCH($D79,Catálogo!$A$2:$A$200,0)),"ID no existe"))</f>
        <v/>
      </c>
      <c r="F79" s="8" t="str">
        <f aca="false">IF($D79="","",IFERROR(INDEX(Catálogo!$C$2:$C$200,MATCH($D79,Catálogo!$A$2:$A$200,0)),""))</f>
        <v/>
      </c>
      <c r="G79" s="8" t="str">
        <f aca="false">IF($D79="","",IFERROR(INDEX(Catálogo!$P$2:$P$200,MATCH($D79,Catálogo!$A$2:$A$200,0)),""))</f>
        <v/>
      </c>
      <c r="H79" s="13"/>
      <c r="I79" s="13"/>
      <c r="J79" s="13"/>
      <c r="K79" s="8" t="str">
        <f aca="false">IF($G79="","",IF($G79="Alta",3,IF($G79="Media",2,1))*10+COUNTIF($H79:$J79,"Sí"))</f>
        <v/>
      </c>
      <c r="L79" s="8" t="str">
        <f aca="false">IF($K79="","",COUNTIFS($B$5:$B$304,$B79,$K$5:$K$304,"&gt;"&amp;$K79)+1)</f>
        <v/>
      </c>
      <c r="M79" s="8" t="str">
        <f aca="false">IF($L79="","",IF($L79&lt;=25,"Sí","No"))</f>
        <v/>
      </c>
      <c r="N79" s="13"/>
    </row>
    <row r="80" customFormat="false" ht="15" hidden="false" customHeight="false" outlineLevel="0" collapsed="false">
      <c r="A80" s="13"/>
      <c r="B80" s="13"/>
      <c r="C80" s="13"/>
      <c r="D80" s="13"/>
      <c r="E80" s="8" t="str">
        <f aca="false">IF($D80="","",IFERROR(INDEX(Catálogo!$B$2:$B$200,MATCH($D80,Catálogo!$A$2:$A$200,0)),"ID no existe"))</f>
        <v/>
      </c>
      <c r="F80" s="8" t="str">
        <f aca="false">IF($D80="","",IFERROR(INDEX(Catálogo!$C$2:$C$200,MATCH($D80,Catálogo!$A$2:$A$200,0)),""))</f>
        <v/>
      </c>
      <c r="G80" s="8" t="str">
        <f aca="false">IF($D80="","",IFERROR(INDEX(Catálogo!$P$2:$P$200,MATCH($D80,Catálogo!$A$2:$A$200,0)),""))</f>
        <v/>
      </c>
      <c r="H80" s="13"/>
      <c r="I80" s="13"/>
      <c r="J80" s="13"/>
      <c r="K80" s="8" t="str">
        <f aca="false">IF($G80="","",IF($G80="Alta",3,IF($G80="Media",2,1))*10+COUNTIF($H80:$J80,"Sí"))</f>
        <v/>
      </c>
      <c r="L80" s="8" t="str">
        <f aca="false">IF($K80="","",COUNTIFS($B$5:$B$304,$B80,$K$5:$K$304,"&gt;"&amp;$K80)+1)</f>
        <v/>
      </c>
      <c r="M80" s="8" t="str">
        <f aca="false">IF($L80="","",IF($L80&lt;=25,"Sí","No"))</f>
        <v/>
      </c>
      <c r="N80" s="13"/>
    </row>
    <row r="81" customFormat="false" ht="15" hidden="false" customHeight="false" outlineLevel="0" collapsed="false">
      <c r="A81" s="13"/>
      <c r="B81" s="13"/>
      <c r="C81" s="13"/>
      <c r="D81" s="13"/>
      <c r="E81" s="8" t="str">
        <f aca="false">IF($D81="","",IFERROR(INDEX(Catálogo!$B$2:$B$200,MATCH($D81,Catálogo!$A$2:$A$200,0)),"ID no existe"))</f>
        <v/>
      </c>
      <c r="F81" s="8" t="str">
        <f aca="false">IF($D81="","",IFERROR(INDEX(Catálogo!$C$2:$C$200,MATCH($D81,Catálogo!$A$2:$A$200,0)),""))</f>
        <v/>
      </c>
      <c r="G81" s="8" t="str">
        <f aca="false">IF($D81="","",IFERROR(INDEX(Catálogo!$P$2:$P$200,MATCH($D81,Catálogo!$A$2:$A$200,0)),""))</f>
        <v/>
      </c>
      <c r="H81" s="13"/>
      <c r="I81" s="13"/>
      <c r="J81" s="13"/>
      <c r="K81" s="8" t="str">
        <f aca="false">IF($G81="","",IF($G81="Alta",3,IF($G81="Media",2,1))*10+COUNTIF($H81:$J81,"Sí"))</f>
        <v/>
      </c>
      <c r="L81" s="8" t="str">
        <f aca="false">IF($K81="","",COUNTIFS($B$5:$B$304,$B81,$K$5:$K$304,"&gt;"&amp;$K81)+1)</f>
        <v/>
      </c>
      <c r="M81" s="8" t="str">
        <f aca="false">IF($L81="","",IF($L81&lt;=25,"Sí","No"))</f>
        <v/>
      </c>
      <c r="N81" s="13"/>
    </row>
    <row r="82" customFormat="false" ht="15" hidden="false" customHeight="false" outlineLevel="0" collapsed="false">
      <c r="A82" s="13"/>
      <c r="B82" s="13"/>
      <c r="C82" s="13"/>
      <c r="D82" s="13"/>
      <c r="E82" s="8" t="str">
        <f aca="false">IF($D82="","",IFERROR(INDEX(Catálogo!$B$2:$B$200,MATCH($D82,Catálogo!$A$2:$A$200,0)),"ID no existe"))</f>
        <v/>
      </c>
      <c r="F82" s="8" t="str">
        <f aca="false">IF($D82="","",IFERROR(INDEX(Catálogo!$C$2:$C$200,MATCH($D82,Catálogo!$A$2:$A$200,0)),""))</f>
        <v/>
      </c>
      <c r="G82" s="8" t="str">
        <f aca="false">IF($D82="","",IFERROR(INDEX(Catálogo!$P$2:$P$200,MATCH($D82,Catálogo!$A$2:$A$200,0)),""))</f>
        <v/>
      </c>
      <c r="H82" s="13"/>
      <c r="I82" s="13"/>
      <c r="J82" s="13"/>
      <c r="K82" s="8" t="str">
        <f aca="false">IF($G82="","",IF($G82="Alta",3,IF($G82="Media",2,1))*10+COUNTIF($H82:$J82,"Sí"))</f>
        <v/>
      </c>
      <c r="L82" s="8" t="str">
        <f aca="false">IF($K82="","",COUNTIFS($B$5:$B$304,$B82,$K$5:$K$304,"&gt;"&amp;$K82)+1)</f>
        <v/>
      </c>
      <c r="M82" s="8" t="str">
        <f aca="false">IF($L82="","",IF($L82&lt;=25,"Sí","No"))</f>
        <v/>
      </c>
      <c r="N82" s="13"/>
    </row>
    <row r="83" customFormat="false" ht="15" hidden="false" customHeight="false" outlineLevel="0" collapsed="false">
      <c r="A83" s="13"/>
      <c r="B83" s="13"/>
      <c r="C83" s="13"/>
      <c r="D83" s="13"/>
      <c r="E83" s="8" t="str">
        <f aca="false">IF($D83="","",IFERROR(INDEX(Catálogo!$B$2:$B$200,MATCH($D83,Catálogo!$A$2:$A$200,0)),"ID no existe"))</f>
        <v/>
      </c>
      <c r="F83" s="8" t="str">
        <f aca="false">IF($D83="","",IFERROR(INDEX(Catálogo!$C$2:$C$200,MATCH($D83,Catálogo!$A$2:$A$200,0)),""))</f>
        <v/>
      </c>
      <c r="G83" s="8" t="str">
        <f aca="false">IF($D83="","",IFERROR(INDEX(Catálogo!$P$2:$P$200,MATCH($D83,Catálogo!$A$2:$A$200,0)),""))</f>
        <v/>
      </c>
      <c r="H83" s="13"/>
      <c r="I83" s="13"/>
      <c r="J83" s="13"/>
      <c r="K83" s="8" t="str">
        <f aca="false">IF($G83="","",IF($G83="Alta",3,IF($G83="Media",2,1))*10+COUNTIF($H83:$J83,"Sí"))</f>
        <v/>
      </c>
      <c r="L83" s="8" t="str">
        <f aca="false">IF($K83="","",COUNTIFS($B$5:$B$304,$B83,$K$5:$K$304,"&gt;"&amp;$K83)+1)</f>
        <v/>
      </c>
      <c r="M83" s="8" t="str">
        <f aca="false">IF($L83="","",IF($L83&lt;=25,"Sí","No"))</f>
        <v/>
      </c>
      <c r="N83" s="13"/>
    </row>
    <row r="84" customFormat="false" ht="15" hidden="false" customHeight="false" outlineLevel="0" collapsed="false">
      <c r="A84" s="13"/>
      <c r="B84" s="13"/>
      <c r="C84" s="13"/>
      <c r="D84" s="13"/>
      <c r="E84" s="8" t="str">
        <f aca="false">IF($D84="","",IFERROR(INDEX(Catálogo!$B$2:$B$200,MATCH($D84,Catálogo!$A$2:$A$200,0)),"ID no existe"))</f>
        <v/>
      </c>
      <c r="F84" s="8" t="str">
        <f aca="false">IF($D84="","",IFERROR(INDEX(Catálogo!$C$2:$C$200,MATCH($D84,Catálogo!$A$2:$A$200,0)),""))</f>
        <v/>
      </c>
      <c r="G84" s="8" t="str">
        <f aca="false">IF($D84="","",IFERROR(INDEX(Catálogo!$P$2:$P$200,MATCH($D84,Catálogo!$A$2:$A$200,0)),""))</f>
        <v/>
      </c>
      <c r="H84" s="13"/>
      <c r="I84" s="13"/>
      <c r="J84" s="13"/>
      <c r="K84" s="8" t="str">
        <f aca="false">IF($G84="","",IF($G84="Alta",3,IF($G84="Media",2,1))*10+COUNTIF($H84:$J84,"Sí"))</f>
        <v/>
      </c>
      <c r="L84" s="8" t="str">
        <f aca="false">IF($K84="","",COUNTIFS($B$5:$B$304,$B84,$K$5:$K$304,"&gt;"&amp;$K84)+1)</f>
        <v/>
      </c>
      <c r="M84" s="8" t="str">
        <f aca="false">IF($L84="","",IF($L84&lt;=25,"Sí","No"))</f>
        <v/>
      </c>
      <c r="N84" s="13"/>
    </row>
    <row r="85" customFormat="false" ht="15" hidden="false" customHeight="false" outlineLevel="0" collapsed="false">
      <c r="A85" s="13"/>
      <c r="B85" s="13"/>
      <c r="C85" s="13"/>
      <c r="D85" s="13"/>
      <c r="E85" s="8" t="str">
        <f aca="false">IF($D85="","",IFERROR(INDEX(Catálogo!$B$2:$B$200,MATCH($D85,Catálogo!$A$2:$A$200,0)),"ID no existe"))</f>
        <v/>
      </c>
      <c r="F85" s="8" t="str">
        <f aca="false">IF($D85="","",IFERROR(INDEX(Catálogo!$C$2:$C$200,MATCH($D85,Catálogo!$A$2:$A$200,0)),""))</f>
        <v/>
      </c>
      <c r="G85" s="8" t="str">
        <f aca="false">IF($D85="","",IFERROR(INDEX(Catálogo!$P$2:$P$200,MATCH($D85,Catálogo!$A$2:$A$200,0)),""))</f>
        <v/>
      </c>
      <c r="H85" s="13"/>
      <c r="I85" s="13"/>
      <c r="J85" s="13"/>
      <c r="K85" s="8" t="str">
        <f aca="false">IF($G85="","",IF($G85="Alta",3,IF($G85="Media",2,1))*10+COUNTIF($H85:$J85,"Sí"))</f>
        <v/>
      </c>
      <c r="L85" s="8" t="str">
        <f aca="false">IF($K85="","",COUNTIFS($B$5:$B$304,$B85,$K$5:$K$304,"&gt;"&amp;$K85)+1)</f>
        <v/>
      </c>
      <c r="M85" s="8" t="str">
        <f aca="false">IF($L85="","",IF($L85&lt;=25,"Sí","No"))</f>
        <v/>
      </c>
      <c r="N85" s="13"/>
    </row>
    <row r="86" customFormat="false" ht="15" hidden="false" customHeight="false" outlineLevel="0" collapsed="false">
      <c r="A86" s="13"/>
      <c r="B86" s="13"/>
      <c r="C86" s="13"/>
      <c r="D86" s="13"/>
      <c r="E86" s="8" t="str">
        <f aca="false">IF($D86="","",IFERROR(INDEX(Catálogo!$B$2:$B$200,MATCH($D86,Catálogo!$A$2:$A$200,0)),"ID no existe"))</f>
        <v/>
      </c>
      <c r="F86" s="8" t="str">
        <f aca="false">IF($D86="","",IFERROR(INDEX(Catálogo!$C$2:$C$200,MATCH($D86,Catálogo!$A$2:$A$200,0)),""))</f>
        <v/>
      </c>
      <c r="G86" s="8" t="str">
        <f aca="false">IF($D86="","",IFERROR(INDEX(Catálogo!$P$2:$P$200,MATCH($D86,Catálogo!$A$2:$A$200,0)),""))</f>
        <v/>
      </c>
      <c r="H86" s="13"/>
      <c r="I86" s="13"/>
      <c r="J86" s="13"/>
      <c r="K86" s="8" t="str">
        <f aca="false">IF($G86="","",IF($G86="Alta",3,IF($G86="Media",2,1))*10+COUNTIF($H86:$J86,"Sí"))</f>
        <v/>
      </c>
      <c r="L86" s="8" t="str">
        <f aca="false">IF($K86="","",COUNTIFS($B$5:$B$304,$B86,$K$5:$K$304,"&gt;"&amp;$K86)+1)</f>
        <v/>
      </c>
      <c r="M86" s="8" t="str">
        <f aca="false">IF($L86="","",IF($L86&lt;=25,"Sí","No"))</f>
        <v/>
      </c>
      <c r="N86" s="13"/>
    </row>
    <row r="87" customFormat="false" ht="15" hidden="false" customHeight="false" outlineLevel="0" collapsed="false">
      <c r="A87" s="13"/>
      <c r="B87" s="13"/>
      <c r="C87" s="13"/>
      <c r="D87" s="13"/>
      <c r="E87" s="8" t="str">
        <f aca="false">IF($D87="","",IFERROR(INDEX(Catálogo!$B$2:$B$200,MATCH($D87,Catálogo!$A$2:$A$200,0)),"ID no existe"))</f>
        <v/>
      </c>
      <c r="F87" s="8" t="str">
        <f aca="false">IF($D87="","",IFERROR(INDEX(Catálogo!$C$2:$C$200,MATCH($D87,Catálogo!$A$2:$A$200,0)),""))</f>
        <v/>
      </c>
      <c r="G87" s="8" t="str">
        <f aca="false">IF($D87="","",IFERROR(INDEX(Catálogo!$P$2:$P$200,MATCH($D87,Catálogo!$A$2:$A$200,0)),""))</f>
        <v/>
      </c>
      <c r="H87" s="13"/>
      <c r="I87" s="13"/>
      <c r="J87" s="13"/>
      <c r="K87" s="8" t="str">
        <f aca="false">IF($G87="","",IF($G87="Alta",3,IF($G87="Media",2,1))*10+COUNTIF($H87:$J87,"Sí"))</f>
        <v/>
      </c>
      <c r="L87" s="8" t="str">
        <f aca="false">IF($K87="","",COUNTIFS($B$5:$B$304,$B87,$K$5:$K$304,"&gt;"&amp;$K87)+1)</f>
        <v/>
      </c>
      <c r="M87" s="8" t="str">
        <f aca="false">IF($L87="","",IF($L87&lt;=25,"Sí","No"))</f>
        <v/>
      </c>
      <c r="N87" s="13"/>
    </row>
    <row r="88" customFormat="false" ht="15" hidden="false" customHeight="false" outlineLevel="0" collapsed="false">
      <c r="A88" s="13"/>
      <c r="B88" s="13"/>
      <c r="C88" s="13"/>
      <c r="D88" s="13"/>
      <c r="E88" s="8" t="str">
        <f aca="false">IF($D88="","",IFERROR(INDEX(Catálogo!$B$2:$B$200,MATCH($D88,Catálogo!$A$2:$A$200,0)),"ID no existe"))</f>
        <v/>
      </c>
      <c r="F88" s="8" t="str">
        <f aca="false">IF($D88="","",IFERROR(INDEX(Catálogo!$C$2:$C$200,MATCH($D88,Catálogo!$A$2:$A$200,0)),""))</f>
        <v/>
      </c>
      <c r="G88" s="8" t="str">
        <f aca="false">IF($D88="","",IFERROR(INDEX(Catálogo!$P$2:$P$200,MATCH($D88,Catálogo!$A$2:$A$200,0)),""))</f>
        <v/>
      </c>
      <c r="H88" s="13"/>
      <c r="I88" s="13"/>
      <c r="J88" s="13"/>
      <c r="K88" s="8" t="str">
        <f aca="false">IF($G88="","",IF($G88="Alta",3,IF($G88="Media",2,1))*10+COUNTIF($H88:$J88,"Sí"))</f>
        <v/>
      </c>
      <c r="L88" s="8" t="str">
        <f aca="false">IF($K88="","",COUNTIFS($B$5:$B$304,$B88,$K$5:$K$304,"&gt;"&amp;$K88)+1)</f>
        <v/>
      </c>
      <c r="M88" s="8" t="str">
        <f aca="false">IF($L88="","",IF($L88&lt;=25,"Sí","No"))</f>
        <v/>
      </c>
      <c r="N88" s="13"/>
    </row>
    <row r="89" customFormat="false" ht="15" hidden="false" customHeight="false" outlineLevel="0" collapsed="false">
      <c r="A89" s="13"/>
      <c r="B89" s="13"/>
      <c r="C89" s="13"/>
      <c r="D89" s="13"/>
      <c r="E89" s="8" t="str">
        <f aca="false">IF($D89="","",IFERROR(INDEX(Catálogo!$B$2:$B$200,MATCH($D89,Catálogo!$A$2:$A$200,0)),"ID no existe"))</f>
        <v/>
      </c>
      <c r="F89" s="8" t="str">
        <f aca="false">IF($D89="","",IFERROR(INDEX(Catálogo!$C$2:$C$200,MATCH($D89,Catálogo!$A$2:$A$200,0)),""))</f>
        <v/>
      </c>
      <c r="G89" s="8" t="str">
        <f aca="false">IF($D89="","",IFERROR(INDEX(Catálogo!$P$2:$P$200,MATCH($D89,Catálogo!$A$2:$A$200,0)),""))</f>
        <v/>
      </c>
      <c r="H89" s="13"/>
      <c r="I89" s="13"/>
      <c r="J89" s="13"/>
      <c r="K89" s="8" t="str">
        <f aca="false">IF($G89="","",IF($G89="Alta",3,IF($G89="Media",2,1))*10+COUNTIF($H89:$J89,"Sí"))</f>
        <v/>
      </c>
      <c r="L89" s="8" t="str">
        <f aca="false">IF($K89="","",COUNTIFS($B$5:$B$304,$B89,$K$5:$K$304,"&gt;"&amp;$K89)+1)</f>
        <v/>
      </c>
      <c r="M89" s="8" t="str">
        <f aca="false">IF($L89="","",IF($L89&lt;=25,"Sí","No"))</f>
        <v/>
      </c>
      <c r="N89" s="13"/>
    </row>
    <row r="90" customFormat="false" ht="15" hidden="false" customHeight="false" outlineLevel="0" collapsed="false">
      <c r="A90" s="13"/>
      <c r="B90" s="13"/>
      <c r="C90" s="13"/>
      <c r="D90" s="13"/>
      <c r="E90" s="8" t="str">
        <f aca="false">IF($D90="","",IFERROR(INDEX(Catálogo!$B$2:$B$200,MATCH($D90,Catálogo!$A$2:$A$200,0)),"ID no existe"))</f>
        <v/>
      </c>
      <c r="F90" s="8" t="str">
        <f aca="false">IF($D90="","",IFERROR(INDEX(Catálogo!$C$2:$C$200,MATCH($D90,Catálogo!$A$2:$A$200,0)),""))</f>
        <v/>
      </c>
      <c r="G90" s="8" t="str">
        <f aca="false">IF($D90="","",IFERROR(INDEX(Catálogo!$P$2:$P$200,MATCH($D90,Catálogo!$A$2:$A$200,0)),""))</f>
        <v/>
      </c>
      <c r="H90" s="13"/>
      <c r="I90" s="13"/>
      <c r="J90" s="13"/>
      <c r="K90" s="8" t="str">
        <f aca="false">IF($G90="","",IF($G90="Alta",3,IF($G90="Media",2,1))*10+COUNTIF($H90:$J90,"Sí"))</f>
        <v/>
      </c>
      <c r="L90" s="8" t="str">
        <f aca="false">IF($K90="","",COUNTIFS($B$5:$B$304,$B90,$K$5:$K$304,"&gt;"&amp;$K90)+1)</f>
        <v/>
      </c>
      <c r="M90" s="8" t="str">
        <f aca="false">IF($L90="","",IF($L90&lt;=25,"Sí","No"))</f>
        <v/>
      </c>
      <c r="N90" s="13"/>
    </row>
    <row r="91" customFormat="false" ht="15" hidden="false" customHeight="false" outlineLevel="0" collapsed="false">
      <c r="A91" s="13"/>
      <c r="B91" s="13"/>
      <c r="C91" s="13"/>
      <c r="D91" s="13"/>
      <c r="E91" s="8" t="str">
        <f aca="false">IF($D91="","",IFERROR(INDEX(Catálogo!$B$2:$B$200,MATCH($D91,Catálogo!$A$2:$A$200,0)),"ID no existe"))</f>
        <v/>
      </c>
      <c r="F91" s="8" t="str">
        <f aca="false">IF($D91="","",IFERROR(INDEX(Catálogo!$C$2:$C$200,MATCH($D91,Catálogo!$A$2:$A$200,0)),""))</f>
        <v/>
      </c>
      <c r="G91" s="8" t="str">
        <f aca="false">IF($D91="","",IFERROR(INDEX(Catálogo!$P$2:$P$200,MATCH($D91,Catálogo!$A$2:$A$200,0)),""))</f>
        <v/>
      </c>
      <c r="H91" s="13"/>
      <c r="I91" s="13"/>
      <c r="J91" s="13"/>
      <c r="K91" s="8" t="str">
        <f aca="false">IF($G91="","",IF($G91="Alta",3,IF($G91="Media",2,1))*10+COUNTIF($H91:$J91,"Sí"))</f>
        <v/>
      </c>
      <c r="L91" s="8" t="str">
        <f aca="false">IF($K91="","",COUNTIFS($B$5:$B$304,$B91,$K$5:$K$304,"&gt;"&amp;$K91)+1)</f>
        <v/>
      </c>
      <c r="M91" s="8" t="str">
        <f aca="false">IF($L91="","",IF($L91&lt;=25,"Sí","No"))</f>
        <v/>
      </c>
      <c r="N91" s="13"/>
    </row>
    <row r="92" customFormat="false" ht="15" hidden="false" customHeight="false" outlineLevel="0" collapsed="false">
      <c r="A92" s="13"/>
      <c r="B92" s="13"/>
      <c r="C92" s="13"/>
      <c r="D92" s="13"/>
      <c r="E92" s="8" t="str">
        <f aca="false">IF($D92="","",IFERROR(INDEX(Catálogo!$B$2:$B$200,MATCH($D92,Catálogo!$A$2:$A$200,0)),"ID no existe"))</f>
        <v/>
      </c>
      <c r="F92" s="8" t="str">
        <f aca="false">IF($D92="","",IFERROR(INDEX(Catálogo!$C$2:$C$200,MATCH($D92,Catálogo!$A$2:$A$200,0)),""))</f>
        <v/>
      </c>
      <c r="G92" s="8" t="str">
        <f aca="false">IF($D92="","",IFERROR(INDEX(Catálogo!$P$2:$P$200,MATCH($D92,Catálogo!$A$2:$A$200,0)),""))</f>
        <v/>
      </c>
      <c r="H92" s="13"/>
      <c r="I92" s="13"/>
      <c r="J92" s="13"/>
      <c r="K92" s="8" t="str">
        <f aca="false">IF($G92="","",IF($G92="Alta",3,IF($G92="Media",2,1))*10+COUNTIF($H92:$J92,"Sí"))</f>
        <v/>
      </c>
      <c r="L92" s="8" t="str">
        <f aca="false">IF($K92="","",COUNTIFS($B$5:$B$304,$B92,$K$5:$K$304,"&gt;"&amp;$K92)+1)</f>
        <v/>
      </c>
      <c r="M92" s="8" t="str">
        <f aca="false">IF($L92="","",IF($L92&lt;=25,"Sí","No"))</f>
        <v/>
      </c>
      <c r="N92" s="13"/>
    </row>
    <row r="93" customFormat="false" ht="15" hidden="false" customHeight="false" outlineLevel="0" collapsed="false">
      <c r="A93" s="13"/>
      <c r="B93" s="13"/>
      <c r="C93" s="13"/>
      <c r="D93" s="13"/>
      <c r="E93" s="8" t="str">
        <f aca="false">IF($D93="","",IFERROR(INDEX(Catálogo!$B$2:$B$200,MATCH($D93,Catálogo!$A$2:$A$200,0)),"ID no existe"))</f>
        <v/>
      </c>
      <c r="F93" s="8" t="str">
        <f aca="false">IF($D93="","",IFERROR(INDEX(Catálogo!$C$2:$C$200,MATCH($D93,Catálogo!$A$2:$A$200,0)),""))</f>
        <v/>
      </c>
      <c r="G93" s="8" t="str">
        <f aca="false">IF($D93="","",IFERROR(INDEX(Catálogo!$P$2:$P$200,MATCH($D93,Catálogo!$A$2:$A$200,0)),""))</f>
        <v/>
      </c>
      <c r="H93" s="13"/>
      <c r="I93" s="13"/>
      <c r="J93" s="13"/>
      <c r="K93" s="8" t="str">
        <f aca="false">IF($G93="","",IF($G93="Alta",3,IF($G93="Media",2,1))*10+COUNTIF($H93:$J93,"Sí"))</f>
        <v/>
      </c>
      <c r="L93" s="8" t="str">
        <f aca="false">IF($K93="","",COUNTIFS($B$5:$B$304,$B93,$K$5:$K$304,"&gt;"&amp;$K93)+1)</f>
        <v/>
      </c>
      <c r="M93" s="8" t="str">
        <f aca="false">IF($L93="","",IF($L93&lt;=25,"Sí","No"))</f>
        <v/>
      </c>
      <c r="N93" s="13"/>
    </row>
    <row r="94" customFormat="false" ht="15" hidden="false" customHeight="false" outlineLevel="0" collapsed="false">
      <c r="A94" s="13"/>
      <c r="B94" s="13"/>
      <c r="C94" s="13"/>
      <c r="D94" s="13"/>
      <c r="E94" s="8" t="str">
        <f aca="false">IF($D94="","",IFERROR(INDEX(Catálogo!$B$2:$B$200,MATCH($D94,Catálogo!$A$2:$A$200,0)),"ID no existe"))</f>
        <v/>
      </c>
      <c r="F94" s="8" t="str">
        <f aca="false">IF($D94="","",IFERROR(INDEX(Catálogo!$C$2:$C$200,MATCH($D94,Catálogo!$A$2:$A$200,0)),""))</f>
        <v/>
      </c>
      <c r="G94" s="8" t="str">
        <f aca="false">IF($D94="","",IFERROR(INDEX(Catálogo!$P$2:$P$200,MATCH($D94,Catálogo!$A$2:$A$200,0)),""))</f>
        <v/>
      </c>
      <c r="H94" s="13"/>
      <c r="I94" s="13"/>
      <c r="J94" s="13"/>
      <c r="K94" s="8" t="str">
        <f aca="false">IF($G94="","",IF($G94="Alta",3,IF($G94="Media",2,1))*10+COUNTIF($H94:$J94,"Sí"))</f>
        <v/>
      </c>
      <c r="L94" s="8" t="str">
        <f aca="false">IF($K94="","",COUNTIFS($B$5:$B$304,$B94,$K$5:$K$304,"&gt;"&amp;$K94)+1)</f>
        <v/>
      </c>
      <c r="M94" s="8" t="str">
        <f aca="false">IF($L94="","",IF($L94&lt;=25,"Sí","No"))</f>
        <v/>
      </c>
      <c r="N94" s="13"/>
    </row>
    <row r="95" customFormat="false" ht="15" hidden="false" customHeight="false" outlineLevel="0" collapsed="false">
      <c r="A95" s="13"/>
      <c r="B95" s="13"/>
      <c r="C95" s="13"/>
      <c r="D95" s="13"/>
      <c r="E95" s="8" t="str">
        <f aca="false">IF($D95="","",IFERROR(INDEX(Catálogo!$B$2:$B$200,MATCH($D95,Catálogo!$A$2:$A$200,0)),"ID no existe"))</f>
        <v/>
      </c>
      <c r="F95" s="8" t="str">
        <f aca="false">IF($D95="","",IFERROR(INDEX(Catálogo!$C$2:$C$200,MATCH($D95,Catálogo!$A$2:$A$200,0)),""))</f>
        <v/>
      </c>
      <c r="G95" s="8" t="str">
        <f aca="false">IF($D95="","",IFERROR(INDEX(Catálogo!$P$2:$P$200,MATCH($D95,Catálogo!$A$2:$A$200,0)),""))</f>
        <v/>
      </c>
      <c r="H95" s="13"/>
      <c r="I95" s="13"/>
      <c r="J95" s="13"/>
      <c r="K95" s="8" t="str">
        <f aca="false">IF($G95="","",IF($G95="Alta",3,IF($G95="Media",2,1))*10+COUNTIF($H95:$J95,"Sí"))</f>
        <v/>
      </c>
      <c r="L95" s="8" t="str">
        <f aca="false">IF($K95="","",COUNTIFS($B$5:$B$304,$B95,$K$5:$K$304,"&gt;"&amp;$K95)+1)</f>
        <v/>
      </c>
      <c r="M95" s="8" t="str">
        <f aca="false">IF($L95="","",IF($L95&lt;=25,"Sí","No"))</f>
        <v/>
      </c>
      <c r="N95" s="13"/>
    </row>
    <row r="96" customFormat="false" ht="15" hidden="false" customHeight="false" outlineLevel="0" collapsed="false">
      <c r="A96" s="13"/>
      <c r="B96" s="13"/>
      <c r="C96" s="13"/>
      <c r="D96" s="13"/>
      <c r="E96" s="8" t="str">
        <f aca="false">IF($D96="","",IFERROR(INDEX(Catálogo!$B$2:$B$200,MATCH($D96,Catálogo!$A$2:$A$200,0)),"ID no existe"))</f>
        <v/>
      </c>
      <c r="F96" s="8" t="str">
        <f aca="false">IF($D96="","",IFERROR(INDEX(Catálogo!$C$2:$C$200,MATCH($D96,Catálogo!$A$2:$A$200,0)),""))</f>
        <v/>
      </c>
      <c r="G96" s="8" t="str">
        <f aca="false">IF($D96="","",IFERROR(INDEX(Catálogo!$P$2:$P$200,MATCH($D96,Catálogo!$A$2:$A$200,0)),""))</f>
        <v/>
      </c>
      <c r="H96" s="13"/>
      <c r="I96" s="13"/>
      <c r="J96" s="13"/>
      <c r="K96" s="8" t="str">
        <f aca="false">IF($G96="","",IF($G96="Alta",3,IF($G96="Media",2,1))*10+COUNTIF($H96:$J96,"Sí"))</f>
        <v/>
      </c>
      <c r="L96" s="8" t="str">
        <f aca="false">IF($K96="","",COUNTIFS($B$5:$B$304,$B96,$K$5:$K$304,"&gt;"&amp;$K96)+1)</f>
        <v/>
      </c>
      <c r="M96" s="8" t="str">
        <f aca="false">IF($L96="","",IF($L96&lt;=25,"Sí","No"))</f>
        <v/>
      </c>
      <c r="N96" s="13"/>
    </row>
    <row r="97" customFormat="false" ht="15" hidden="false" customHeight="false" outlineLevel="0" collapsed="false">
      <c r="A97" s="13"/>
      <c r="B97" s="13"/>
      <c r="C97" s="13"/>
      <c r="D97" s="13"/>
      <c r="E97" s="8" t="str">
        <f aca="false">IF($D97="","",IFERROR(INDEX(Catálogo!$B$2:$B$200,MATCH($D97,Catálogo!$A$2:$A$200,0)),"ID no existe"))</f>
        <v/>
      </c>
      <c r="F97" s="8" t="str">
        <f aca="false">IF($D97="","",IFERROR(INDEX(Catálogo!$C$2:$C$200,MATCH($D97,Catálogo!$A$2:$A$200,0)),""))</f>
        <v/>
      </c>
      <c r="G97" s="8" t="str">
        <f aca="false">IF($D97="","",IFERROR(INDEX(Catálogo!$P$2:$P$200,MATCH($D97,Catálogo!$A$2:$A$200,0)),""))</f>
        <v/>
      </c>
      <c r="H97" s="13"/>
      <c r="I97" s="13"/>
      <c r="J97" s="13"/>
      <c r="K97" s="8" t="str">
        <f aca="false">IF($G97="","",IF($G97="Alta",3,IF($G97="Media",2,1))*10+COUNTIF($H97:$J97,"Sí"))</f>
        <v/>
      </c>
      <c r="L97" s="8" t="str">
        <f aca="false">IF($K97="","",COUNTIFS($B$5:$B$304,$B97,$K$5:$K$304,"&gt;"&amp;$K97)+1)</f>
        <v/>
      </c>
      <c r="M97" s="8" t="str">
        <f aca="false">IF($L97="","",IF($L97&lt;=25,"Sí","No"))</f>
        <v/>
      </c>
      <c r="N97" s="13"/>
    </row>
    <row r="98" customFormat="false" ht="15" hidden="false" customHeight="false" outlineLevel="0" collapsed="false">
      <c r="A98" s="13"/>
      <c r="B98" s="13"/>
      <c r="C98" s="13"/>
      <c r="D98" s="13"/>
      <c r="E98" s="8" t="str">
        <f aca="false">IF($D98="","",IFERROR(INDEX(Catálogo!$B$2:$B$200,MATCH($D98,Catálogo!$A$2:$A$200,0)),"ID no existe"))</f>
        <v/>
      </c>
      <c r="F98" s="8" t="str">
        <f aca="false">IF($D98="","",IFERROR(INDEX(Catálogo!$C$2:$C$200,MATCH($D98,Catálogo!$A$2:$A$200,0)),""))</f>
        <v/>
      </c>
      <c r="G98" s="8" t="str">
        <f aca="false">IF($D98="","",IFERROR(INDEX(Catálogo!$P$2:$P$200,MATCH($D98,Catálogo!$A$2:$A$200,0)),""))</f>
        <v/>
      </c>
      <c r="H98" s="13"/>
      <c r="I98" s="13"/>
      <c r="J98" s="13"/>
      <c r="K98" s="8" t="str">
        <f aca="false">IF($G98="","",IF($G98="Alta",3,IF($G98="Media",2,1))*10+COUNTIF($H98:$J98,"Sí"))</f>
        <v/>
      </c>
      <c r="L98" s="8" t="str">
        <f aca="false">IF($K98="","",COUNTIFS($B$5:$B$304,$B98,$K$5:$K$304,"&gt;"&amp;$K98)+1)</f>
        <v/>
      </c>
      <c r="M98" s="8" t="str">
        <f aca="false">IF($L98="","",IF($L98&lt;=25,"Sí","No"))</f>
        <v/>
      </c>
      <c r="N98" s="13"/>
    </row>
    <row r="99" customFormat="false" ht="15" hidden="false" customHeight="false" outlineLevel="0" collapsed="false">
      <c r="A99" s="13"/>
      <c r="B99" s="13"/>
      <c r="C99" s="13"/>
      <c r="D99" s="13"/>
      <c r="E99" s="8" t="str">
        <f aca="false">IF($D99="","",IFERROR(INDEX(Catálogo!$B$2:$B$200,MATCH($D99,Catálogo!$A$2:$A$200,0)),"ID no existe"))</f>
        <v/>
      </c>
      <c r="F99" s="8" t="str">
        <f aca="false">IF($D99="","",IFERROR(INDEX(Catálogo!$C$2:$C$200,MATCH($D99,Catálogo!$A$2:$A$200,0)),""))</f>
        <v/>
      </c>
      <c r="G99" s="8" t="str">
        <f aca="false">IF($D99="","",IFERROR(INDEX(Catálogo!$P$2:$P$200,MATCH($D99,Catálogo!$A$2:$A$200,0)),""))</f>
        <v/>
      </c>
      <c r="H99" s="13"/>
      <c r="I99" s="13"/>
      <c r="J99" s="13"/>
      <c r="K99" s="8" t="str">
        <f aca="false">IF($G99="","",IF($G99="Alta",3,IF($G99="Media",2,1))*10+COUNTIF($H99:$J99,"Sí"))</f>
        <v/>
      </c>
      <c r="L99" s="8" t="str">
        <f aca="false">IF($K99="","",COUNTIFS($B$5:$B$304,$B99,$K$5:$K$304,"&gt;"&amp;$K99)+1)</f>
        <v/>
      </c>
      <c r="M99" s="8" t="str">
        <f aca="false">IF($L99="","",IF($L99&lt;=25,"Sí","No"))</f>
        <v/>
      </c>
      <c r="N99" s="13"/>
    </row>
    <row r="100" customFormat="false" ht="15" hidden="false" customHeight="false" outlineLevel="0" collapsed="false">
      <c r="A100" s="13"/>
      <c r="B100" s="13"/>
      <c r="C100" s="13"/>
      <c r="D100" s="13"/>
      <c r="E100" s="8" t="str">
        <f aca="false">IF($D100="","",IFERROR(INDEX(Catálogo!$B$2:$B$200,MATCH($D100,Catálogo!$A$2:$A$200,0)),"ID no existe"))</f>
        <v/>
      </c>
      <c r="F100" s="8" t="str">
        <f aca="false">IF($D100="","",IFERROR(INDEX(Catálogo!$C$2:$C$200,MATCH($D100,Catálogo!$A$2:$A$200,0)),""))</f>
        <v/>
      </c>
      <c r="G100" s="8" t="str">
        <f aca="false">IF($D100="","",IFERROR(INDEX(Catálogo!$P$2:$P$200,MATCH($D100,Catálogo!$A$2:$A$200,0)),""))</f>
        <v/>
      </c>
      <c r="H100" s="13"/>
      <c r="I100" s="13"/>
      <c r="J100" s="13"/>
      <c r="K100" s="8" t="str">
        <f aca="false">IF($G100="","",IF($G100="Alta",3,IF($G100="Media",2,1))*10+COUNTIF($H100:$J100,"Sí"))</f>
        <v/>
      </c>
      <c r="L100" s="8" t="str">
        <f aca="false">IF($K100="","",COUNTIFS($B$5:$B$304,$B100,$K$5:$K$304,"&gt;"&amp;$K100)+1)</f>
        <v/>
      </c>
      <c r="M100" s="8" t="str">
        <f aca="false">IF($L100="","",IF($L100&lt;=25,"Sí","No"))</f>
        <v/>
      </c>
      <c r="N100" s="13"/>
    </row>
    <row r="101" customFormat="false" ht="15" hidden="false" customHeight="false" outlineLevel="0" collapsed="false">
      <c r="A101" s="13"/>
      <c r="B101" s="13"/>
      <c r="C101" s="13"/>
      <c r="D101" s="13"/>
      <c r="E101" s="8" t="str">
        <f aca="false">IF($D101="","",IFERROR(INDEX(Catálogo!$B$2:$B$200,MATCH($D101,Catálogo!$A$2:$A$200,0)),"ID no existe"))</f>
        <v/>
      </c>
      <c r="F101" s="8" t="str">
        <f aca="false">IF($D101="","",IFERROR(INDEX(Catálogo!$C$2:$C$200,MATCH($D101,Catálogo!$A$2:$A$200,0)),""))</f>
        <v/>
      </c>
      <c r="G101" s="8" t="str">
        <f aca="false">IF($D101="","",IFERROR(INDEX(Catálogo!$P$2:$P$200,MATCH($D101,Catálogo!$A$2:$A$200,0)),""))</f>
        <v/>
      </c>
      <c r="H101" s="13"/>
      <c r="I101" s="13"/>
      <c r="J101" s="13"/>
      <c r="K101" s="8" t="str">
        <f aca="false">IF($G101="","",IF($G101="Alta",3,IF($G101="Media",2,1))*10+COUNTIF($H101:$J101,"Sí"))</f>
        <v/>
      </c>
      <c r="L101" s="8" t="str">
        <f aca="false">IF($K101="","",COUNTIFS($B$5:$B$304,$B101,$K$5:$K$304,"&gt;"&amp;$K101)+1)</f>
        <v/>
      </c>
      <c r="M101" s="8" t="str">
        <f aca="false">IF($L101="","",IF($L101&lt;=25,"Sí","No"))</f>
        <v/>
      </c>
      <c r="N101" s="13"/>
    </row>
    <row r="102" customFormat="false" ht="15" hidden="false" customHeight="false" outlineLevel="0" collapsed="false">
      <c r="A102" s="13"/>
      <c r="B102" s="13"/>
      <c r="C102" s="13"/>
      <c r="D102" s="13"/>
      <c r="E102" s="8" t="str">
        <f aca="false">IF($D102="","",IFERROR(INDEX(Catálogo!$B$2:$B$200,MATCH($D102,Catálogo!$A$2:$A$200,0)),"ID no existe"))</f>
        <v/>
      </c>
      <c r="F102" s="8" t="str">
        <f aca="false">IF($D102="","",IFERROR(INDEX(Catálogo!$C$2:$C$200,MATCH($D102,Catálogo!$A$2:$A$200,0)),""))</f>
        <v/>
      </c>
      <c r="G102" s="8" t="str">
        <f aca="false">IF($D102="","",IFERROR(INDEX(Catálogo!$P$2:$P$200,MATCH($D102,Catálogo!$A$2:$A$200,0)),""))</f>
        <v/>
      </c>
      <c r="H102" s="13"/>
      <c r="I102" s="13"/>
      <c r="J102" s="13"/>
      <c r="K102" s="8" t="str">
        <f aca="false">IF($G102="","",IF($G102="Alta",3,IF($G102="Media",2,1))*10+COUNTIF($H102:$J102,"Sí"))</f>
        <v/>
      </c>
      <c r="L102" s="8" t="str">
        <f aca="false">IF($K102="","",COUNTIFS($B$5:$B$304,$B102,$K$5:$K$304,"&gt;"&amp;$K102)+1)</f>
        <v/>
      </c>
      <c r="M102" s="8" t="str">
        <f aca="false">IF($L102="","",IF($L102&lt;=25,"Sí","No"))</f>
        <v/>
      </c>
      <c r="N102" s="13"/>
    </row>
    <row r="103" customFormat="false" ht="15" hidden="false" customHeight="false" outlineLevel="0" collapsed="false">
      <c r="A103" s="13"/>
      <c r="B103" s="13"/>
      <c r="C103" s="13"/>
      <c r="D103" s="13"/>
      <c r="E103" s="8" t="str">
        <f aca="false">IF($D103="","",IFERROR(INDEX(Catálogo!$B$2:$B$200,MATCH($D103,Catálogo!$A$2:$A$200,0)),"ID no existe"))</f>
        <v/>
      </c>
      <c r="F103" s="8" t="str">
        <f aca="false">IF($D103="","",IFERROR(INDEX(Catálogo!$C$2:$C$200,MATCH($D103,Catálogo!$A$2:$A$200,0)),""))</f>
        <v/>
      </c>
      <c r="G103" s="8" t="str">
        <f aca="false">IF($D103="","",IFERROR(INDEX(Catálogo!$P$2:$P$200,MATCH($D103,Catálogo!$A$2:$A$200,0)),""))</f>
        <v/>
      </c>
      <c r="H103" s="13"/>
      <c r="I103" s="13"/>
      <c r="J103" s="13"/>
      <c r="K103" s="8" t="str">
        <f aca="false">IF($G103="","",IF($G103="Alta",3,IF($G103="Media",2,1))*10+COUNTIF($H103:$J103,"Sí"))</f>
        <v/>
      </c>
      <c r="L103" s="8" t="str">
        <f aca="false">IF($K103="","",COUNTIFS($B$5:$B$304,$B103,$K$5:$K$304,"&gt;"&amp;$K103)+1)</f>
        <v/>
      </c>
      <c r="M103" s="8" t="str">
        <f aca="false">IF($L103="","",IF($L103&lt;=25,"Sí","No"))</f>
        <v/>
      </c>
      <c r="N103" s="13"/>
    </row>
    <row r="104" customFormat="false" ht="15" hidden="false" customHeight="false" outlineLevel="0" collapsed="false">
      <c r="A104" s="13"/>
      <c r="B104" s="13"/>
      <c r="C104" s="13"/>
      <c r="D104" s="13"/>
      <c r="E104" s="8" t="str">
        <f aca="false">IF($D104="","",IFERROR(INDEX(Catálogo!$B$2:$B$200,MATCH($D104,Catálogo!$A$2:$A$200,0)),"ID no existe"))</f>
        <v/>
      </c>
      <c r="F104" s="8" t="str">
        <f aca="false">IF($D104="","",IFERROR(INDEX(Catálogo!$C$2:$C$200,MATCH($D104,Catálogo!$A$2:$A$200,0)),""))</f>
        <v/>
      </c>
      <c r="G104" s="8" t="str">
        <f aca="false">IF($D104="","",IFERROR(INDEX(Catálogo!$P$2:$P$200,MATCH($D104,Catálogo!$A$2:$A$200,0)),""))</f>
        <v/>
      </c>
      <c r="H104" s="13"/>
      <c r="I104" s="13"/>
      <c r="J104" s="13"/>
      <c r="K104" s="8" t="str">
        <f aca="false">IF($G104="","",IF($G104="Alta",3,IF($G104="Media",2,1))*10+COUNTIF($H104:$J104,"Sí"))</f>
        <v/>
      </c>
      <c r="L104" s="8" t="str">
        <f aca="false">IF($K104="","",COUNTIFS($B$5:$B$304,$B104,$K$5:$K$304,"&gt;"&amp;$K104)+1)</f>
        <v/>
      </c>
      <c r="M104" s="8" t="str">
        <f aca="false">IF($L104="","",IF($L104&lt;=25,"Sí","No"))</f>
        <v/>
      </c>
      <c r="N104" s="13"/>
    </row>
    <row r="105" customFormat="false" ht="15" hidden="false" customHeight="false" outlineLevel="0" collapsed="false">
      <c r="A105" s="13"/>
      <c r="B105" s="13"/>
      <c r="C105" s="13"/>
      <c r="D105" s="13"/>
      <c r="E105" s="8" t="str">
        <f aca="false">IF($D105="","",IFERROR(INDEX(Catálogo!$B$2:$B$200,MATCH($D105,Catálogo!$A$2:$A$200,0)),"ID no existe"))</f>
        <v/>
      </c>
      <c r="F105" s="8" t="str">
        <f aca="false">IF($D105="","",IFERROR(INDEX(Catálogo!$C$2:$C$200,MATCH($D105,Catálogo!$A$2:$A$200,0)),""))</f>
        <v/>
      </c>
      <c r="G105" s="8" t="str">
        <f aca="false">IF($D105="","",IFERROR(INDEX(Catálogo!$P$2:$P$200,MATCH($D105,Catálogo!$A$2:$A$200,0)),""))</f>
        <v/>
      </c>
      <c r="H105" s="13"/>
      <c r="I105" s="13"/>
      <c r="J105" s="13"/>
      <c r="K105" s="8" t="str">
        <f aca="false">IF($G105="","",IF($G105="Alta",3,IF($G105="Media",2,1))*10+COUNTIF($H105:$J105,"Sí"))</f>
        <v/>
      </c>
      <c r="L105" s="8" t="str">
        <f aca="false">IF($K105="","",COUNTIFS($B$5:$B$304,$B105,$K$5:$K$304,"&gt;"&amp;$K105)+1)</f>
        <v/>
      </c>
      <c r="M105" s="8" t="str">
        <f aca="false">IF($L105="","",IF($L105&lt;=25,"Sí","No"))</f>
        <v/>
      </c>
      <c r="N105" s="13"/>
    </row>
    <row r="106" customFormat="false" ht="15" hidden="false" customHeight="false" outlineLevel="0" collapsed="false">
      <c r="A106" s="13"/>
      <c r="B106" s="13"/>
      <c r="C106" s="13"/>
      <c r="D106" s="13"/>
      <c r="E106" s="8" t="str">
        <f aca="false">IF($D106="","",IFERROR(INDEX(Catálogo!$B$2:$B$200,MATCH($D106,Catálogo!$A$2:$A$200,0)),"ID no existe"))</f>
        <v/>
      </c>
      <c r="F106" s="8" t="str">
        <f aca="false">IF($D106="","",IFERROR(INDEX(Catálogo!$C$2:$C$200,MATCH($D106,Catálogo!$A$2:$A$200,0)),""))</f>
        <v/>
      </c>
      <c r="G106" s="8" t="str">
        <f aca="false">IF($D106="","",IFERROR(INDEX(Catálogo!$P$2:$P$200,MATCH($D106,Catálogo!$A$2:$A$200,0)),""))</f>
        <v/>
      </c>
      <c r="H106" s="13"/>
      <c r="I106" s="13"/>
      <c r="J106" s="13"/>
      <c r="K106" s="8" t="str">
        <f aca="false">IF($G106="","",IF($G106="Alta",3,IF($G106="Media",2,1))*10+COUNTIF($H106:$J106,"Sí"))</f>
        <v/>
      </c>
      <c r="L106" s="8" t="str">
        <f aca="false">IF($K106="","",COUNTIFS($B$5:$B$304,$B106,$K$5:$K$304,"&gt;"&amp;$K106)+1)</f>
        <v/>
      </c>
      <c r="M106" s="8" t="str">
        <f aca="false">IF($L106="","",IF($L106&lt;=25,"Sí","No"))</f>
        <v/>
      </c>
      <c r="N106" s="13"/>
    </row>
    <row r="107" customFormat="false" ht="15" hidden="false" customHeight="false" outlineLevel="0" collapsed="false">
      <c r="A107" s="13"/>
      <c r="B107" s="13"/>
      <c r="C107" s="13"/>
      <c r="D107" s="13"/>
      <c r="E107" s="8" t="str">
        <f aca="false">IF($D107="","",IFERROR(INDEX(Catálogo!$B$2:$B$200,MATCH($D107,Catálogo!$A$2:$A$200,0)),"ID no existe"))</f>
        <v/>
      </c>
      <c r="F107" s="8" t="str">
        <f aca="false">IF($D107="","",IFERROR(INDEX(Catálogo!$C$2:$C$200,MATCH($D107,Catálogo!$A$2:$A$200,0)),""))</f>
        <v/>
      </c>
      <c r="G107" s="8" t="str">
        <f aca="false">IF($D107="","",IFERROR(INDEX(Catálogo!$P$2:$P$200,MATCH($D107,Catálogo!$A$2:$A$200,0)),""))</f>
        <v/>
      </c>
      <c r="H107" s="13"/>
      <c r="I107" s="13"/>
      <c r="J107" s="13"/>
      <c r="K107" s="8" t="str">
        <f aca="false">IF($G107="","",IF($G107="Alta",3,IF($G107="Media",2,1))*10+COUNTIF($H107:$J107,"Sí"))</f>
        <v/>
      </c>
      <c r="L107" s="8" t="str">
        <f aca="false">IF($K107="","",COUNTIFS($B$5:$B$304,$B107,$K$5:$K$304,"&gt;"&amp;$K107)+1)</f>
        <v/>
      </c>
      <c r="M107" s="8" t="str">
        <f aca="false">IF($L107="","",IF($L107&lt;=25,"Sí","No"))</f>
        <v/>
      </c>
      <c r="N107" s="13"/>
    </row>
    <row r="108" customFormat="false" ht="15" hidden="false" customHeight="false" outlineLevel="0" collapsed="false">
      <c r="A108" s="13"/>
      <c r="B108" s="13"/>
      <c r="C108" s="13"/>
      <c r="D108" s="13"/>
      <c r="E108" s="8" t="str">
        <f aca="false">IF($D108="","",IFERROR(INDEX(Catálogo!$B$2:$B$200,MATCH($D108,Catálogo!$A$2:$A$200,0)),"ID no existe"))</f>
        <v/>
      </c>
      <c r="F108" s="8" t="str">
        <f aca="false">IF($D108="","",IFERROR(INDEX(Catálogo!$C$2:$C$200,MATCH($D108,Catálogo!$A$2:$A$200,0)),""))</f>
        <v/>
      </c>
      <c r="G108" s="8" t="str">
        <f aca="false">IF($D108="","",IFERROR(INDEX(Catálogo!$P$2:$P$200,MATCH($D108,Catálogo!$A$2:$A$200,0)),""))</f>
        <v/>
      </c>
      <c r="H108" s="13"/>
      <c r="I108" s="13"/>
      <c r="J108" s="13"/>
      <c r="K108" s="8" t="str">
        <f aca="false">IF($G108="","",IF($G108="Alta",3,IF($G108="Media",2,1))*10+COUNTIF($H108:$J108,"Sí"))</f>
        <v/>
      </c>
      <c r="L108" s="8" t="str">
        <f aca="false">IF($K108="","",COUNTIFS($B$5:$B$304,$B108,$K$5:$K$304,"&gt;"&amp;$K108)+1)</f>
        <v/>
      </c>
      <c r="M108" s="8" t="str">
        <f aca="false">IF($L108="","",IF($L108&lt;=25,"Sí","No"))</f>
        <v/>
      </c>
      <c r="N108" s="13"/>
    </row>
    <row r="109" customFormat="false" ht="15" hidden="false" customHeight="false" outlineLevel="0" collapsed="false">
      <c r="A109" s="13"/>
      <c r="B109" s="13"/>
      <c r="C109" s="13"/>
      <c r="D109" s="13"/>
      <c r="E109" s="8" t="str">
        <f aca="false">IF($D109="","",IFERROR(INDEX(Catálogo!$B$2:$B$200,MATCH($D109,Catálogo!$A$2:$A$200,0)),"ID no existe"))</f>
        <v/>
      </c>
      <c r="F109" s="8" t="str">
        <f aca="false">IF($D109="","",IFERROR(INDEX(Catálogo!$C$2:$C$200,MATCH($D109,Catálogo!$A$2:$A$200,0)),""))</f>
        <v/>
      </c>
      <c r="G109" s="8" t="str">
        <f aca="false">IF($D109="","",IFERROR(INDEX(Catálogo!$P$2:$P$200,MATCH($D109,Catálogo!$A$2:$A$200,0)),""))</f>
        <v/>
      </c>
      <c r="H109" s="13"/>
      <c r="I109" s="13"/>
      <c r="J109" s="13"/>
      <c r="K109" s="8" t="str">
        <f aca="false">IF($G109="","",IF($G109="Alta",3,IF($G109="Media",2,1))*10+COUNTIF($H109:$J109,"Sí"))</f>
        <v/>
      </c>
      <c r="L109" s="8" t="str">
        <f aca="false">IF($K109="","",COUNTIFS($B$5:$B$304,$B109,$K$5:$K$304,"&gt;"&amp;$K109)+1)</f>
        <v/>
      </c>
      <c r="M109" s="8" t="str">
        <f aca="false">IF($L109="","",IF($L109&lt;=25,"Sí","No"))</f>
        <v/>
      </c>
      <c r="N109" s="13"/>
    </row>
    <row r="110" customFormat="false" ht="15" hidden="false" customHeight="false" outlineLevel="0" collapsed="false">
      <c r="A110" s="13"/>
      <c r="B110" s="13"/>
      <c r="C110" s="13"/>
      <c r="D110" s="13"/>
      <c r="E110" s="8" t="str">
        <f aca="false">IF($D110="","",IFERROR(INDEX(Catálogo!$B$2:$B$200,MATCH($D110,Catálogo!$A$2:$A$200,0)),"ID no existe"))</f>
        <v/>
      </c>
      <c r="F110" s="8" t="str">
        <f aca="false">IF($D110="","",IFERROR(INDEX(Catálogo!$C$2:$C$200,MATCH($D110,Catálogo!$A$2:$A$200,0)),""))</f>
        <v/>
      </c>
      <c r="G110" s="8" t="str">
        <f aca="false">IF($D110="","",IFERROR(INDEX(Catálogo!$P$2:$P$200,MATCH($D110,Catálogo!$A$2:$A$200,0)),""))</f>
        <v/>
      </c>
      <c r="H110" s="13"/>
      <c r="I110" s="13"/>
      <c r="J110" s="13"/>
      <c r="K110" s="8" t="str">
        <f aca="false">IF($G110="","",IF($G110="Alta",3,IF($G110="Media",2,1))*10+COUNTIF($H110:$J110,"Sí"))</f>
        <v/>
      </c>
      <c r="L110" s="8" t="str">
        <f aca="false">IF($K110="","",COUNTIFS($B$5:$B$304,$B110,$K$5:$K$304,"&gt;"&amp;$K110)+1)</f>
        <v/>
      </c>
      <c r="M110" s="8" t="str">
        <f aca="false">IF($L110="","",IF($L110&lt;=25,"Sí","No"))</f>
        <v/>
      </c>
      <c r="N110" s="13"/>
    </row>
    <row r="111" customFormat="false" ht="15" hidden="false" customHeight="false" outlineLevel="0" collapsed="false">
      <c r="A111" s="13"/>
      <c r="B111" s="13"/>
      <c r="C111" s="13"/>
      <c r="D111" s="13"/>
      <c r="E111" s="8" t="str">
        <f aca="false">IF($D111="","",IFERROR(INDEX(Catálogo!$B$2:$B$200,MATCH($D111,Catálogo!$A$2:$A$200,0)),"ID no existe"))</f>
        <v/>
      </c>
      <c r="F111" s="8" t="str">
        <f aca="false">IF($D111="","",IFERROR(INDEX(Catálogo!$C$2:$C$200,MATCH($D111,Catálogo!$A$2:$A$200,0)),""))</f>
        <v/>
      </c>
      <c r="G111" s="8" t="str">
        <f aca="false">IF($D111="","",IFERROR(INDEX(Catálogo!$P$2:$P$200,MATCH($D111,Catálogo!$A$2:$A$200,0)),""))</f>
        <v/>
      </c>
      <c r="H111" s="13"/>
      <c r="I111" s="13"/>
      <c r="J111" s="13"/>
      <c r="K111" s="8" t="str">
        <f aca="false">IF($G111="","",IF($G111="Alta",3,IF($G111="Media",2,1))*10+COUNTIF($H111:$J111,"Sí"))</f>
        <v/>
      </c>
      <c r="L111" s="8" t="str">
        <f aca="false">IF($K111="","",COUNTIFS($B$5:$B$304,$B111,$K$5:$K$304,"&gt;"&amp;$K111)+1)</f>
        <v/>
      </c>
      <c r="M111" s="8" t="str">
        <f aca="false">IF($L111="","",IF($L111&lt;=25,"Sí","No"))</f>
        <v/>
      </c>
      <c r="N111" s="13"/>
    </row>
    <row r="112" customFormat="false" ht="15" hidden="false" customHeight="false" outlineLevel="0" collapsed="false">
      <c r="A112" s="13"/>
      <c r="B112" s="13"/>
      <c r="C112" s="13"/>
      <c r="D112" s="13"/>
      <c r="E112" s="8" t="str">
        <f aca="false">IF($D112="","",IFERROR(INDEX(Catálogo!$B$2:$B$200,MATCH($D112,Catálogo!$A$2:$A$200,0)),"ID no existe"))</f>
        <v/>
      </c>
      <c r="F112" s="8" t="str">
        <f aca="false">IF($D112="","",IFERROR(INDEX(Catálogo!$C$2:$C$200,MATCH($D112,Catálogo!$A$2:$A$200,0)),""))</f>
        <v/>
      </c>
      <c r="G112" s="8" t="str">
        <f aca="false">IF($D112="","",IFERROR(INDEX(Catálogo!$P$2:$P$200,MATCH($D112,Catálogo!$A$2:$A$200,0)),""))</f>
        <v/>
      </c>
      <c r="H112" s="13"/>
      <c r="I112" s="13"/>
      <c r="J112" s="13"/>
      <c r="K112" s="8" t="str">
        <f aca="false">IF($G112="","",IF($G112="Alta",3,IF($G112="Media",2,1))*10+COUNTIF($H112:$J112,"Sí"))</f>
        <v/>
      </c>
      <c r="L112" s="8" t="str">
        <f aca="false">IF($K112="","",COUNTIFS($B$5:$B$304,$B112,$K$5:$K$304,"&gt;"&amp;$K112)+1)</f>
        <v/>
      </c>
      <c r="M112" s="8" t="str">
        <f aca="false">IF($L112="","",IF($L112&lt;=25,"Sí","No"))</f>
        <v/>
      </c>
      <c r="N112" s="13"/>
    </row>
    <row r="113" customFormat="false" ht="15" hidden="false" customHeight="false" outlineLevel="0" collapsed="false">
      <c r="A113" s="13"/>
      <c r="B113" s="13"/>
      <c r="C113" s="13"/>
      <c r="D113" s="13"/>
      <c r="E113" s="8" t="str">
        <f aca="false">IF($D113="","",IFERROR(INDEX(Catálogo!$B$2:$B$200,MATCH($D113,Catálogo!$A$2:$A$200,0)),"ID no existe"))</f>
        <v/>
      </c>
      <c r="F113" s="8" t="str">
        <f aca="false">IF($D113="","",IFERROR(INDEX(Catálogo!$C$2:$C$200,MATCH($D113,Catálogo!$A$2:$A$200,0)),""))</f>
        <v/>
      </c>
      <c r="G113" s="8" t="str">
        <f aca="false">IF($D113="","",IFERROR(INDEX(Catálogo!$P$2:$P$200,MATCH($D113,Catálogo!$A$2:$A$200,0)),""))</f>
        <v/>
      </c>
      <c r="H113" s="13"/>
      <c r="I113" s="13"/>
      <c r="J113" s="13"/>
      <c r="K113" s="8" t="str">
        <f aca="false">IF($G113="","",IF($G113="Alta",3,IF($G113="Media",2,1))*10+COUNTIF($H113:$J113,"Sí"))</f>
        <v/>
      </c>
      <c r="L113" s="8" t="str">
        <f aca="false">IF($K113="","",COUNTIFS($B$5:$B$304,$B113,$K$5:$K$304,"&gt;"&amp;$K113)+1)</f>
        <v/>
      </c>
      <c r="M113" s="8" t="str">
        <f aca="false">IF($L113="","",IF($L113&lt;=25,"Sí","No"))</f>
        <v/>
      </c>
      <c r="N113" s="13"/>
    </row>
    <row r="114" customFormat="false" ht="15" hidden="false" customHeight="false" outlineLevel="0" collapsed="false">
      <c r="A114" s="13"/>
      <c r="B114" s="13"/>
      <c r="C114" s="13"/>
      <c r="D114" s="13"/>
      <c r="E114" s="8" t="str">
        <f aca="false">IF($D114="","",IFERROR(INDEX(Catálogo!$B$2:$B$200,MATCH($D114,Catálogo!$A$2:$A$200,0)),"ID no existe"))</f>
        <v/>
      </c>
      <c r="F114" s="8" t="str">
        <f aca="false">IF($D114="","",IFERROR(INDEX(Catálogo!$C$2:$C$200,MATCH($D114,Catálogo!$A$2:$A$200,0)),""))</f>
        <v/>
      </c>
      <c r="G114" s="8" t="str">
        <f aca="false">IF($D114="","",IFERROR(INDEX(Catálogo!$P$2:$P$200,MATCH($D114,Catálogo!$A$2:$A$200,0)),""))</f>
        <v/>
      </c>
      <c r="H114" s="13"/>
      <c r="I114" s="13"/>
      <c r="J114" s="13"/>
      <c r="K114" s="8" t="str">
        <f aca="false">IF($G114="","",IF($G114="Alta",3,IF($G114="Media",2,1))*10+COUNTIF($H114:$J114,"Sí"))</f>
        <v/>
      </c>
      <c r="L114" s="8" t="str">
        <f aca="false">IF($K114="","",COUNTIFS($B$5:$B$304,$B114,$K$5:$K$304,"&gt;"&amp;$K114)+1)</f>
        <v/>
      </c>
      <c r="M114" s="8" t="str">
        <f aca="false">IF($L114="","",IF($L114&lt;=25,"Sí","No"))</f>
        <v/>
      </c>
      <c r="N114" s="13"/>
    </row>
    <row r="115" customFormat="false" ht="15" hidden="false" customHeight="false" outlineLevel="0" collapsed="false">
      <c r="A115" s="13"/>
      <c r="B115" s="13"/>
      <c r="C115" s="13"/>
      <c r="D115" s="13"/>
      <c r="E115" s="8" t="str">
        <f aca="false">IF($D115="","",IFERROR(INDEX(Catálogo!$B$2:$B$200,MATCH($D115,Catálogo!$A$2:$A$200,0)),"ID no existe"))</f>
        <v/>
      </c>
      <c r="F115" s="8" t="str">
        <f aca="false">IF($D115="","",IFERROR(INDEX(Catálogo!$C$2:$C$200,MATCH($D115,Catálogo!$A$2:$A$200,0)),""))</f>
        <v/>
      </c>
      <c r="G115" s="8" t="str">
        <f aca="false">IF($D115="","",IFERROR(INDEX(Catálogo!$P$2:$P$200,MATCH($D115,Catálogo!$A$2:$A$200,0)),""))</f>
        <v/>
      </c>
      <c r="H115" s="13"/>
      <c r="I115" s="13"/>
      <c r="J115" s="13"/>
      <c r="K115" s="8" t="str">
        <f aca="false">IF($G115="","",IF($G115="Alta",3,IF($G115="Media",2,1))*10+COUNTIF($H115:$J115,"Sí"))</f>
        <v/>
      </c>
      <c r="L115" s="8" t="str">
        <f aca="false">IF($K115="","",COUNTIFS($B$5:$B$304,$B115,$K$5:$K$304,"&gt;"&amp;$K115)+1)</f>
        <v/>
      </c>
      <c r="M115" s="8" t="str">
        <f aca="false">IF($L115="","",IF($L115&lt;=25,"Sí","No"))</f>
        <v/>
      </c>
      <c r="N115" s="13"/>
    </row>
    <row r="116" customFormat="false" ht="15" hidden="false" customHeight="false" outlineLevel="0" collapsed="false">
      <c r="A116" s="13"/>
      <c r="B116" s="13"/>
      <c r="C116" s="13"/>
      <c r="D116" s="13"/>
      <c r="E116" s="8" t="str">
        <f aca="false">IF($D116="","",IFERROR(INDEX(Catálogo!$B$2:$B$200,MATCH($D116,Catálogo!$A$2:$A$200,0)),"ID no existe"))</f>
        <v/>
      </c>
      <c r="F116" s="8" t="str">
        <f aca="false">IF($D116="","",IFERROR(INDEX(Catálogo!$C$2:$C$200,MATCH($D116,Catálogo!$A$2:$A$200,0)),""))</f>
        <v/>
      </c>
      <c r="G116" s="8" t="str">
        <f aca="false">IF($D116="","",IFERROR(INDEX(Catálogo!$P$2:$P$200,MATCH($D116,Catálogo!$A$2:$A$200,0)),""))</f>
        <v/>
      </c>
      <c r="H116" s="13"/>
      <c r="I116" s="13"/>
      <c r="J116" s="13"/>
      <c r="K116" s="8" t="str">
        <f aca="false">IF($G116="","",IF($G116="Alta",3,IF($G116="Media",2,1))*10+COUNTIF($H116:$J116,"Sí"))</f>
        <v/>
      </c>
      <c r="L116" s="8" t="str">
        <f aca="false">IF($K116="","",COUNTIFS($B$5:$B$304,$B116,$K$5:$K$304,"&gt;"&amp;$K116)+1)</f>
        <v/>
      </c>
      <c r="M116" s="8" t="str">
        <f aca="false">IF($L116="","",IF($L116&lt;=25,"Sí","No"))</f>
        <v/>
      </c>
      <c r="N116" s="13"/>
    </row>
    <row r="117" customFormat="false" ht="15" hidden="false" customHeight="false" outlineLevel="0" collapsed="false">
      <c r="A117" s="13"/>
      <c r="B117" s="13"/>
      <c r="C117" s="13"/>
      <c r="D117" s="13"/>
      <c r="E117" s="8" t="str">
        <f aca="false">IF($D117="","",IFERROR(INDEX(Catálogo!$B$2:$B$200,MATCH($D117,Catálogo!$A$2:$A$200,0)),"ID no existe"))</f>
        <v/>
      </c>
      <c r="F117" s="8" t="str">
        <f aca="false">IF($D117="","",IFERROR(INDEX(Catálogo!$C$2:$C$200,MATCH($D117,Catálogo!$A$2:$A$200,0)),""))</f>
        <v/>
      </c>
      <c r="G117" s="8" t="str">
        <f aca="false">IF($D117="","",IFERROR(INDEX(Catálogo!$P$2:$P$200,MATCH($D117,Catálogo!$A$2:$A$200,0)),""))</f>
        <v/>
      </c>
      <c r="H117" s="13"/>
      <c r="I117" s="13"/>
      <c r="J117" s="13"/>
      <c r="K117" s="8" t="str">
        <f aca="false">IF($G117="","",IF($G117="Alta",3,IF($G117="Media",2,1))*10+COUNTIF($H117:$J117,"Sí"))</f>
        <v/>
      </c>
      <c r="L117" s="8" t="str">
        <f aca="false">IF($K117="","",COUNTIFS($B$5:$B$304,$B117,$K$5:$K$304,"&gt;"&amp;$K117)+1)</f>
        <v/>
      </c>
      <c r="M117" s="8" t="str">
        <f aca="false">IF($L117="","",IF($L117&lt;=25,"Sí","No"))</f>
        <v/>
      </c>
      <c r="N117" s="13"/>
    </row>
    <row r="118" customFormat="false" ht="15" hidden="false" customHeight="false" outlineLevel="0" collapsed="false">
      <c r="A118" s="13"/>
      <c r="B118" s="13"/>
      <c r="C118" s="13"/>
      <c r="D118" s="13"/>
      <c r="E118" s="8" t="str">
        <f aca="false">IF($D118="","",IFERROR(INDEX(Catálogo!$B$2:$B$200,MATCH($D118,Catálogo!$A$2:$A$200,0)),"ID no existe"))</f>
        <v/>
      </c>
      <c r="F118" s="8" t="str">
        <f aca="false">IF($D118="","",IFERROR(INDEX(Catálogo!$C$2:$C$200,MATCH($D118,Catálogo!$A$2:$A$200,0)),""))</f>
        <v/>
      </c>
      <c r="G118" s="8" t="str">
        <f aca="false">IF($D118="","",IFERROR(INDEX(Catálogo!$P$2:$P$200,MATCH($D118,Catálogo!$A$2:$A$200,0)),""))</f>
        <v/>
      </c>
      <c r="H118" s="13"/>
      <c r="I118" s="13"/>
      <c r="J118" s="13"/>
      <c r="K118" s="8" t="str">
        <f aca="false">IF($G118="","",IF($G118="Alta",3,IF($G118="Media",2,1))*10+COUNTIF($H118:$J118,"Sí"))</f>
        <v/>
      </c>
      <c r="L118" s="8" t="str">
        <f aca="false">IF($K118="","",COUNTIFS($B$5:$B$304,$B118,$K$5:$K$304,"&gt;"&amp;$K118)+1)</f>
        <v/>
      </c>
      <c r="M118" s="8" t="str">
        <f aca="false">IF($L118="","",IF($L118&lt;=25,"Sí","No"))</f>
        <v/>
      </c>
      <c r="N118" s="13"/>
    </row>
    <row r="119" customFormat="false" ht="15" hidden="false" customHeight="false" outlineLevel="0" collapsed="false">
      <c r="A119" s="13"/>
      <c r="B119" s="13"/>
      <c r="C119" s="13"/>
      <c r="D119" s="13"/>
      <c r="E119" s="8" t="str">
        <f aca="false">IF($D119="","",IFERROR(INDEX(Catálogo!$B$2:$B$200,MATCH($D119,Catálogo!$A$2:$A$200,0)),"ID no existe"))</f>
        <v/>
      </c>
      <c r="F119" s="8" t="str">
        <f aca="false">IF($D119="","",IFERROR(INDEX(Catálogo!$C$2:$C$200,MATCH($D119,Catálogo!$A$2:$A$200,0)),""))</f>
        <v/>
      </c>
      <c r="G119" s="8" t="str">
        <f aca="false">IF($D119="","",IFERROR(INDEX(Catálogo!$P$2:$P$200,MATCH($D119,Catálogo!$A$2:$A$200,0)),""))</f>
        <v/>
      </c>
      <c r="H119" s="13"/>
      <c r="I119" s="13"/>
      <c r="J119" s="13"/>
      <c r="K119" s="8" t="str">
        <f aca="false">IF($G119="","",IF($G119="Alta",3,IF($G119="Media",2,1))*10+COUNTIF($H119:$J119,"Sí"))</f>
        <v/>
      </c>
      <c r="L119" s="8" t="str">
        <f aca="false">IF($K119="","",COUNTIFS($B$5:$B$304,$B119,$K$5:$K$304,"&gt;"&amp;$K119)+1)</f>
        <v/>
      </c>
      <c r="M119" s="8" t="str">
        <f aca="false">IF($L119="","",IF($L119&lt;=25,"Sí","No"))</f>
        <v/>
      </c>
      <c r="N119" s="13"/>
    </row>
    <row r="120" customFormat="false" ht="15" hidden="false" customHeight="false" outlineLevel="0" collapsed="false">
      <c r="A120" s="13"/>
      <c r="B120" s="13"/>
      <c r="C120" s="13"/>
      <c r="D120" s="13"/>
      <c r="E120" s="8" t="str">
        <f aca="false">IF($D120="","",IFERROR(INDEX(Catálogo!$B$2:$B$200,MATCH($D120,Catálogo!$A$2:$A$200,0)),"ID no existe"))</f>
        <v/>
      </c>
      <c r="F120" s="8" t="str">
        <f aca="false">IF($D120="","",IFERROR(INDEX(Catálogo!$C$2:$C$200,MATCH($D120,Catálogo!$A$2:$A$200,0)),""))</f>
        <v/>
      </c>
      <c r="G120" s="8" t="str">
        <f aca="false">IF($D120="","",IFERROR(INDEX(Catálogo!$P$2:$P$200,MATCH($D120,Catálogo!$A$2:$A$200,0)),""))</f>
        <v/>
      </c>
      <c r="H120" s="13"/>
      <c r="I120" s="13"/>
      <c r="J120" s="13"/>
      <c r="K120" s="8" t="str">
        <f aca="false">IF($G120="","",IF($G120="Alta",3,IF($G120="Media",2,1))*10+COUNTIF($H120:$J120,"Sí"))</f>
        <v/>
      </c>
      <c r="L120" s="8" t="str">
        <f aca="false">IF($K120="","",COUNTIFS($B$5:$B$304,$B120,$K$5:$K$304,"&gt;"&amp;$K120)+1)</f>
        <v/>
      </c>
      <c r="M120" s="8" t="str">
        <f aca="false">IF($L120="","",IF($L120&lt;=25,"Sí","No"))</f>
        <v/>
      </c>
      <c r="N120" s="13"/>
    </row>
    <row r="121" customFormat="false" ht="15" hidden="false" customHeight="false" outlineLevel="0" collapsed="false">
      <c r="A121" s="13"/>
      <c r="B121" s="13"/>
      <c r="C121" s="13"/>
      <c r="D121" s="13"/>
      <c r="E121" s="8" t="str">
        <f aca="false">IF($D121="","",IFERROR(INDEX(Catálogo!$B$2:$B$200,MATCH($D121,Catálogo!$A$2:$A$200,0)),"ID no existe"))</f>
        <v/>
      </c>
      <c r="F121" s="8" t="str">
        <f aca="false">IF($D121="","",IFERROR(INDEX(Catálogo!$C$2:$C$200,MATCH($D121,Catálogo!$A$2:$A$200,0)),""))</f>
        <v/>
      </c>
      <c r="G121" s="8" t="str">
        <f aca="false">IF($D121="","",IFERROR(INDEX(Catálogo!$P$2:$P$200,MATCH($D121,Catálogo!$A$2:$A$200,0)),""))</f>
        <v/>
      </c>
      <c r="H121" s="13"/>
      <c r="I121" s="13"/>
      <c r="J121" s="13"/>
      <c r="K121" s="8" t="str">
        <f aca="false">IF($G121="","",IF($G121="Alta",3,IF($G121="Media",2,1))*10+COUNTIF($H121:$J121,"Sí"))</f>
        <v/>
      </c>
      <c r="L121" s="8" t="str">
        <f aca="false">IF($K121="","",COUNTIFS($B$5:$B$304,$B121,$K$5:$K$304,"&gt;"&amp;$K121)+1)</f>
        <v/>
      </c>
      <c r="M121" s="8" t="str">
        <f aca="false">IF($L121="","",IF($L121&lt;=25,"Sí","No"))</f>
        <v/>
      </c>
      <c r="N121" s="13"/>
    </row>
    <row r="122" customFormat="false" ht="15" hidden="false" customHeight="false" outlineLevel="0" collapsed="false">
      <c r="A122" s="13"/>
      <c r="B122" s="13"/>
      <c r="C122" s="13"/>
      <c r="D122" s="13"/>
      <c r="E122" s="8" t="str">
        <f aca="false">IF($D122="","",IFERROR(INDEX(Catálogo!$B$2:$B$200,MATCH($D122,Catálogo!$A$2:$A$200,0)),"ID no existe"))</f>
        <v/>
      </c>
      <c r="F122" s="8" t="str">
        <f aca="false">IF($D122="","",IFERROR(INDEX(Catálogo!$C$2:$C$200,MATCH($D122,Catálogo!$A$2:$A$200,0)),""))</f>
        <v/>
      </c>
      <c r="G122" s="8" t="str">
        <f aca="false">IF($D122="","",IFERROR(INDEX(Catálogo!$P$2:$P$200,MATCH($D122,Catálogo!$A$2:$A$200,0)),""))</f>
        <v/>
      </c>
      <c r="H122" s="13"/>
      <c r="I122" s="13"/>
      <c r="J122" s="13"/>
      <c r="K122" s="8" t="str">
        <f aca="false">IF($G122="","",IF($G122="Alta",3,IF($G122="Media",2,1))*10+COUNTIF($H122:$J122,"Sí"))</f>
        <v/>
      </c>
      <c r="L122" s="8" t="str">
        <f aca="false">IF($K122="","",COUNTIFS($B$5:$B$304,$B122,$K$5:$K$304,"&gt;"&amp;$K122)+1)</f>
        <v/>
      </c>
      <c r="M122" s="8" t="str">
        <f aca="false">IF($L122="","",IF($L122&lt;=25,"Sí","No"))</f>
        <v/>
      </c>
      <c r="N122" s="13"/>
    </row>
    <row r="123" customFormat="false" ht="15" hidden="false" customHeight="false" outlineLevel="0" collapsed="false">
      <c r="A123" s="13"/>
      <c r="B123" s="13"/>
      <c r="C123" s="13"/>
      <c r="D123" s="13"/>
      <c r="E123" s="8" t="str">
        <f aca="false">IF($D123="","",IFERROR(INDEX(Catálogo!$B$2:$B$200,MATCH($D123,Catálogo!$A$2:$A$200,0)),"ID no existe"))</f>
        <v/>
      </c>
      <c r="F123" s="8" t="str">
        <f aca="false">IF($D123="","",IFERROR(INDEX(Catálogo!$C$2:$C$200,MATCH($D123,Catálogo!$A$2:$A$200,0)),""))</f>
        <v/>
      </c>
      <c r="G123" s="8" t="str">
        <f aca="false">IF($D123="","",IFERROR(INDEX(Catálogo!$P$2:$P$200,MATCH($D123,Catálogo!$A$2:$A$200,0)),""))</f>
        <v/>
      </c>
      <c r="H123" s="13"/>
      <c r="I123" s="13"/>
      <c r="J123" s="13"/>
      <c r="K123" s="8" t="str">
        <f aca="false">IF($G123="","",IF($G123="Alta",3,IF($G123="Media",2,1))*10+COUNTIF($H123:$J123,"Sí"))</f>
        <v/>
      </c>
      <c r="L123" s="8" t="str">
        <f aca="false">IF($K123="","",COUNTIFS($B$5:$B$304,$B123,$K$5:$K$304,"&gt;"&amp;$K123)+1)</f>
        <v/>
      </c>
      <c r="M123" s="8" t="str">
        <f aca="false">IF($L123="","",IF($L123&lt;=25,"Sí","No"))</f>
        <v/>
      </c>
      <c r="N123" s="13"/>
    </row>
    <row r="124" customFormat="false" ht="15" hidden="false" customHeight="false" outlineLevel="0" collapsed="false">
      <c r="A124" s="13"/>
      <c r="B124" s="13"/>
      <c r="C124" s="13"/>
      <c r="D124" s="13"/>
      <c r="E124" s="8" t="str">
        <f aca="false">IF($D124="","",IFERROR(INDEX(Catálogo!$B$2:$B$200,MATCH($D124,Catálogo!$A$2:$A$200,0)),"ID no existe"))</f>
        <v/>
      </c>
      <c r="F124" s="8" t="str">
        <f aca="false">IF($D124="","",IFERROR(INDEX(Catálogo!$C$2:$C$200,MATCH($D124,Catálogo!$A$2:$A$200,0)),""))</f>
        <v/>
      </c>
      <c r="G124" s="8" t="str">
        <f aca="false">IF($D124="","",IFERROR(INDEX(Catálogo!$P$2:$P$200,MATCH($D124,Catálogo!$A$2:$A$200,0)),""))</f>
        <v/>
      </c>
      <c r="H124" s="13"/>
      <c r="I124" s="13"/>
      <c r="J124" s="13"/>
      <c r="K124" s="8" t="str">
        <f aca="false">IF($G124="","",IF($G124="Alta",3,IF($G124="Media",2,1))*10+COUNTIF($H124:$J124,"Sí"))</f>
        <v/>
      </c>
      <c r="L124" s="8" t="str">
        <f aca="false">IF($K124="","",COUNTIFS($B$5:$B$304,$B124,$K$5:$K$304,"&gt;"&amp;$K124)+1)</f>
        <v/>
      </c>
      <c r="M124" s="8" t="str">
        <f aca="false">IF($L124="","",IF($L124&lt;=25,"Sí","No"))</f>
        <v/>
      </c>
      <c r="N124" s="13"/>
    </row>
    <row r="125" customFormat="false" ht="15" hidden="false" customHeight="false" outlineLevel="0" collapsed="false">
      <c r="A125" s="13"/>
      <c r="B125" s="13"/>
      <c r="C125" s="13"/>
      <c r="D125" s="13"/>
      <c r="E125" s="8" t="str">
        <f aca="false">IF($D125="","",IFERROR(INDEX(Catálogo!$B$2:$B$200,MATCH($D125,Catálogo!$A$2:$A$200,0)),"ID no existe"))</f>
        <v/>
      </c>
      <c r="F125" s="8" t="str">
        <f aca="false">IF($D125="","",IFERROR(INDEX(Catálogo!$C$2:$C$200,MATCH($D125,Catálogo!$A$2:$A$200,0)),""))</f>
        <v/>
      </c>
      <c r="G125" s="8" t="str">
        <f aca="false">IF($D125="","",IFERROR(INDEX(Catálogo!$P$2:$P$200,MATCH($D125,Catálogo!$A$2:$A$200,0)),""))</f>
        <v/>
      </c>
      <c r="H125" s="13"/>
      <c r="I125" s="13"/>
      <c r="J125" s="13"/>
      <c r="K125" s="8" t="str">
        <f aca="false">IF($G125="","",IF($G125="Alta",3,IF($G125="Media",2,1))*10+COUNTIF($H125:$J125,"Sí"))</f>
        <v/>
      </c>
      <c r="L125" s="8" t="str">
        <f aca="false">IF($K125="","",COUNTIFS($B$5:$B$304,$B125,$K$5:$K$304,"&gt;"&amp;$K125)+1)</f>
        <v/>
      </c>
      <c r="M125" s="8" t="str">
        <f aca="false">IF($L125="","",IF($L125&lt;=25,"Sí","No"))</f>
        <v/>
      </c>
      <c r="N125" s="13"/>
    </row>
    <row r="126" customFormat="false" ht="15" hidden="false" customHeight="false" outlineLevel="0" collapsed="false">
      <c r="A126" s="13"/>
      <c r="B126" s="13"/>
      <c r="C126" s="13"/>
      <c r="D126" s="13"/>
      <c r="E126" s="8" t="str">
        <f aca="false">IF($D126="","",IFERROR(INDEX(Catálogo!$B$2:$B$200,MATCH($D126,Catálogo!$A$2:$A$200,0)),"ID no existe"))</f>
        <v/>
      </c>
      <c r="F126" s="8" t="str">
        <f aca="false">IF($D126="","",IFERROR(INDEX(Catálogo!$C$2:$C$200,MATCH($D126,Catálogo!$A$2:$A$200,0)),""))</f>
        <v/>
      </c>
      <c r="G126" s="8" t="str">
        <f aca="false">IF($D126="","",IFERROR(INDEX(Catálogo!$P$2:$P$200,MATCH($D126,Catálogo!$A$2:$A$200,0)),""))</f>
        <v/>
      </c>
      <c r="H126" s="13"/>
      <c r="I126" s="13"/>
      <c r="J126" s="13"/>
      <c r="K126" s="8" t="str">
        <f aca="false">IF($G126="","",IF($G126="Alta",3,IF($G126="Media",2,1))*10+COUNTIF($H126:$J126,"Sí"))</f>
        <v/>
      </c>
      <c r="L126" s="8" t="str">
        <f aca="false">IF($K126="","",COUNTIFS($B$5:$B$304,$B126,$K$5:$K$304,"&gt;"&amp;$K126)+1)</f>
        <v/>
      </c>
      <c r="M126" s="8" t="str">
        <f aca="false">IF($L126="","",IF($L126&lt;=25,"Sí","No"))</f>
        <v/>
      </c>
      <c r="N126" s="13"/>
    </row>
    <row r="127" customFormat="false" ht="15" hidden="false" customHeight="false" outlineLevel="0" collapsed="false">
      <c r="A127" s="13"/>
      <c r="B127" s="13"/>
      <c r="C127" s="13"/>
      <c r="D127" s="13"/>
      <c r="E127" s="8" t="str">
        <f aca="false">IF($D127="","",IFERROR(INDEX(Catálogo!$B$2:$B$200,MATCH($D127,Catálogo!$A$2:$A$200,0)),"ID no existe"))</f>
        <v/>
      </c>
      <c r="F127" s="8" t="str">
        <f aca="false">IF($D127="","",IFERROR(INDEX(Catálogo!$C$2:$C$200,MATCH($D127,Catálogo!$A$2:$A$200,0)),""))</f>
        <v/>
      </c>
      <c r="G127" s="8" t="str">
        <f aca="false">IF($D127="","",IFERROR(INDEX(Catálogo!$P$2:$P$200,MATCH($D127,Catálogo!$A$2:$A$200,0)),""))</f>
        <v/>
      </c>
      <c r="H127" s="13"/>
      <c r="I127" s="13"/>
      <c r="J127" s="13"/>
      <c r="K127" s="8" t="str">
        <f aca="false">IF($G127="","",IF($G127="Alta",3,IF($G127="Media",2,1))*10+COUNTIF($H127:$J127,"Sí"))</f>
        <v/>
      </c>
      <c r="L127" s="8" t="str">
        <f aca="false">IF($K127="","",COUNTIFS($B$5:$B$304,$B127,$K$5:$K$304,"&gt;"&amp;$K127)+1)</f>
        <v/>
      </c>
      <c r="M127" s="8" t="str">
        <f aca="false">IF($L127="","",IF($L127&lt;=25,"Sí","No"))</f>
        <v/>
      </c>
      <c r="N127" s="13"/>
    </row>
    <row r="128" customFormat="false" ht="15" hidden="false" customHeight="false" outlineLevel="0" collapsed="false">
      <c r="A128" s="13"/>
      <c r="B128" s="13"/>
      <c r="C128" s="13"/>
      <c r="D128" s="13"/>
      <c r="E128" s="8" t="str">
        <f aca="false">IF($D128="","",IFERROR(INDEX(Catálogo!$B$2:$B$200,MATCH($D128,Catálogo!$A$2:$A$200,0)),"ID no existe"))</f>
        <v/>
      </c>
      <c r="F128" s="8" t="str">
        <f aca="false">IF($D128="","",IFERROR(INDEX(Catálogo!$C$2:$C$200,MATCH($D128,Catálogo!$A$2:$A$200,0)),""))</f>
        <v/>
      </c>
      <c r="G128" s="8" t="str">
        <f aca="false">IF($D128="","",IFERROR(INDEX(Catálogo!$P$2:$P$200,MATCH($D128,Catálogo!$A$2:$A$200,0)),""))</f>
        <v/>
      </c>
      <c r="H128" s="13"/>
      <c r="I128" s="13"/>
      <c r="J128" s="13"/>
      <c r="K128" s="8" t="str">
        <f aca="false">IF($G128="","",IF($G128="Alta",3,IF($G128="Media",2,1))*10+COUNTIF($H128:$J128,"Sí"))</f>
        <v/>
      </c>
      <c r="L128" s="8" t="str">
        <f aca="false">IF($K128="","",COUNTIFS($B$5:$B$304,$B128,$K$5:$K$304,"&gt;"&amp;$K128)+1)</f>
        <v/>
      </c>
      <c r="M128" s="8" t="str">
        <f aca="false">IF($L128="","",IF($L128&lt;=25,"Sí","No"))</f>
        <v/>
      </c>
      <c r="N128" s="13"/>
    </row>
    <row r="129" customFormat="false" ht="15" hidden="false" customHeight="false" outlineLevel="0" collapsed="false">
      <c r="A129" s="13"/>
      <c r="B129" s="13"/>
      <c r="C129" s="13"/>
      <c r="D129" s="13"/>
      <c r="E129" s="8" t="str">
        <f aca="false">IF($D129="","",IFERROR(INDEX(Catálogo!$B$2:$B$200,MATCH($D129,Catálogo!$A$2:$A$200,0)),"ID no existe"))</f>
        <v/>
      </c>
      <c r="F129" s="8" t="str">
        <f aca="false">IF($D129="","",IFERROR(INDEX(Catálogo!$C$2:$C$200,MATCH($D129,Catálogo!$A$2:$A$200,0)),""))</f>
        <v/>
      </c>
      <c r="G129" s="8" t="str">
        <f aca="false">IF($D129="","",IFERROR(INDEX(Catálogo!$P$2:$P$200,MATCH($D129,Catálogo!$A$2:$A$200,0)),""))</f>
        <v/>
      </c>
      <c r="H129" s="13"/>
      <c r="I129" s="13"/>
      <c r="J129" s="13"/>
      <c r="K129" s="8" t="str">
        <f aca="false">IF($G129="","",IF($G129="Alta",3,IF($G129="Media",2,1))*10+COUNTIF($H129:$J129,"Sí"))</f>
        <v/>
      </c>
      <c r="L129" s="8" t="str">
        <f aca="false">IF($K129="","",COUNTIFS($B$5:$B$304,$B129,$K$5:$K$304,"&gt;"&amp;$K129)+1)</f>
        <v/>
      </c>
      <c r="M129" s="8" t="str">
        <f aca="false">IF($L129="","",IF($L129&lt;=25,"Sí","No"))</f>
        <v/>
      </c>
      <c r="N129" s="13"/>
    </row>
    <row r="130" customFormat="false" ht="15" hidden="false" customHeight="false" outlineLevel="0" collapsed="false">
      <c r="A130" s="13"/>
      <c r="B130" s="13"/>
      <c r="C130" s="13"/>
      <c r="D130" s="13"/>
      <c r="E130" s="8" t="str">
        <f aca="false">IF($D130="","",IFERROR(INDEX(Catálogo!$B$2:$B$200,MATCH($D130,Catálogo!$A$2:$A$200,0)),"ID no existe"))</f>
        <v/>
      </c>
      <c r="F130" s="8" t="str">
        <f aca="false">IF($D130="","",IFERROR(INDEX(Catálogo!$C$2:$C$200,MATCH($D130,Catálogo!$A$2:$A$200,0)),""))</f>
        <v/>
      </c>
      <c r="G130" s="8" t="str">
        <f aca="false">IF($D130="","",IFERROR(INDEX(Catálogo!$P$2:$P$200,MATCH($D130,Catálogo!$A$2:$A$200,0)),""))</f>
        <v/>
      </c>
      <c r="H130" s="13"/>
      <c r="I130" s="13"/>
      <c r="J130" s="13"/>
      <c r="K130" s="8" t="str">
        <f aca="false">IF($G130="","",IF($G130="Alta",3,IF($G130="Media",2,1))*10+COUNTIF($H130:$J130,"Sí"))</f>
        <v/>
      </c>
      <c r="L130" s="8" t="str">
        <f aca="false">IF($K130="","",COUNTIFS($B$5:$B$304,$B130,$K$5:$K$304,"&gt;"&amp;$K130)+1)</f>
        <v/>
      </c>
      <c r="M130" s="8" t="str">
        <f aca="false">IF($L130="","",IF($L130&lt;=25,"Sí","No"))</f>
        <v/>
      </c>
      <c r="N130" s="13"/>
    </row>
    <row r="131" customFormat="false" ht="15" hidden="false" customHeight="false" outlineLevel="0" collapsed="false">
      <c r="A131" s="13"/>
      <c r="B131" s="13"/>
      <c r="C131" s="13"/>
      <c r="D131" s="13"/>
      <c r="E131" s="8" t="str">
        <f aca="false">IF($D131="","",IFERROR(INDEX(Catálogo!$B$2:$B$200,MATCH($D131,Catálogo!$A$2:$A$200,0)),"ID no existe"))</f>
        <v/>
      </c>
      <c r="F131" s="8" t="str">
        <f aca="false">IF($D131="","",IFERROR(INDEX(Catálogo!$C$2:$C$200,MATCH($D131,Catálogo!$A$2:$A$200,0)),""))</f>
        <v/>
      </c>
      <c r="G131" s="8" t="str">
        <f aca="false">IF($D131="","",IFERROR(INDEX(Catálogo!$P$2:$P$200,MATCH($D131,Catálogo!$A$2:$A$200,0)),""))</f>
        <v/>
      </c>
      <c r="H131" s="13"/>
      <c r="I131" s="13"/>
      <c r="J131" s="13"/>
      <c r="K131" s="8" t="str">
        <f aca="false">IF($G131="","",IF($G131="Alta",3,IF($G131="Media",2,1))*10+COUNTIF($H131:$J131,"Sí"))</f>
        <v/>
      </c>
      <c r="L131" s="8" t="str">
        <f aca="false">IF($K131="","",COUNTIFS($B$5:$B$304,$B131,$K$5:$K$304,"&gt;"&amp;$K131)+1)</f>
        <v/>
      </c>
      <c r="M131" s="8" t="str">
        <f aca="false">IF($L131="","",IF($L131&lt;=25,"Sí","No"))</f>
        <v/>
      </c>
      <c r="N131" s="13"/>
    </row>
    <row r="132" customFormat="false" ht="15" hidden="false" customHeight="false" outlineLevel="0" collapsed="false">
      <c r="A132" s="13"/>
      <c r="B132" s="13"/>
      <c r="C132" s="13"/>
      <c r="D132" s="13"/>
      <c r="E132" s="8" t="str">
        <f aca="false">IF($D132="","",IFERROR(INDEX(Catálogo!$B$2:$B$200,MATCH($D132,Catálogo!$A$2:$A$200,0)),"ID no existe"))</f>
        <v/>
      </c>
      <c r="F132" s="8" t="str">
        <f aca="false">IF($D132="","",IFERROR(INDEX(Catálogo!$C$2:$C$200,MATCH($D132,Catálogo!$A$2:$A$200,0)),""))</f>
        <v/>
      </c>
      <c r="G132" s="8" t="str">
        <f aca="false">IF($D132="","",IFERROR(INDEX(Catálogo!$P$2:$P$200,MATCH($D132,Catálogo!$A$2:$A$200,0)),""))</f>
        <v/>
      </c>
      <c r="H132" s="13"/>
      <c r="I132" s="13"/>
      <c r="J132" s="13"/>
      <c r="K132" s="8" t="str">
        <f aca="false">IF($G132="","",IF($G132="Alta",3,IF($G132="Media",2,1))*10+COUNTIF($H132:$J132,"Sí"))</f>
        <v/>
      </c>
      <c r="L132" s="8" t="str">
        <f aca="false">IF($K132="","",COUNTIFS($B$5:$B$304,$B132,$K$5:$K$304,"&gt;"&amp;$K132)+1)</f>
        <v/>
      </c>
      <c r="M132" s="8" t="str">
        <f aca="false">IF($L132="","",IF($L132&lt;=25,"Sí","No"))</f>
        <v/>
      </c>
      <c r="N132" s="13"/>
    </row>
    <row r="133" customFormat="false" ht="15" hidden="false" customHeight="false" outlineLevel="0" collapsed="false">
      <c r="A133" s="13"/>
      <c r="B133" s="13"/>
      <c r="C133" s="13"/>
      <c r="D133" s="13"/>
      <c r="E133" s="8" t="str">
        <f aca="false">IF($D133="","",IFERROR(INDEX(Catálogo!$B$2:$B$200,MATCH($D133,Catálogo!$A$2:$A$200,0)),"ID no existe"))</f>
        <v/>
      </c>
      <c r="F133" s="8" t="str">
        <f aca="false">IF($D133="","",IFERROR(INDEX(Catálogo!$C$2:$C$200,MATCH($D133,Catálogo!$A$2:$A$200,0)),""))</f>
        <v/>
      </c>
      <c r="G133" s="8" t="str">
        <f aca="false">IF($D133="","",IFERROR(INDEX(Catálogo!$P$2:$P$200,MATCH($D133,Catálogo!$A$2:$A$200,0)),""))</f>
        <v/>
      </c>
      <c r="H133" s="13"/>
      <c r="I133" s="13"/>
      <c r="J133" s="13"/>
      <c r="K133" s="8" t="str">
        <f aca="false">IF($G133="","",IF($G133="Alta",3,IF($G133="Media",2,1))*10+COUNTIF($H133:$J133,"Sí"))</f>
        <v/>
      </c>
      <c r="L133" s="8" t="str">
        <f aca="false">IF($K133="","",COUNTIFS($B$5:$B$304,$B133,$K$5:$K$304,"&gt;"&amp;$K133)+1)</f>
        <v/>
      </c>
      <c r="M133" s="8" t="str">
        <f aca="false">IF($L133="","",IF($L133&lt;=25,"Sí","No"))</f>
        <v/>
      </c>
      <c r="N133" s="13"/>
    </row>
    <row r="134" customFormat="false" ht="15" hidden="false" customHeight="false" outlineLevel="0" collapsed="false">
      <c r="A134" s="13"/>
      <c r="B134" s="13"/>
      <c r="C134" s="13"/>
      <c r="D134" s="13"/>
      <c r="E134" s="8" t="str">
        <f aca="false">IF($D134="","",IFERROR(INDEX(Catálogo!$B$2:$B$200,MATCH($D134,Catálogo!$A$2:$A$200,0)),"ID no existe"))</f>
        <v/>
      </c>
      <c r="F134" s="8" t="str">
        <f aca="false">IF($D134="","",IFERROR(INDEX(Catálogo!$C$2:$C$200,MATCH($D134,Catálogo!$A$2:$A$200,0)),""))</f>
        <v/>
      </c>
      <c r="G134" s="8" t="str">
        <f aca="false">IF($D134="","",IFERROR(INDEX(Catálogo!$P$2:$P$200,MATCH($D134,Catálogo!$A$2:$A$200,0)),""))</f>
        <v/>
      </c>
      <c r="H134" s="13"/>
      <c r="I134" s="13"/>
      <c r="J134" s="13"/>
      <c r="K134" s="8" t="str">
        <f aca="false">IF($G134="","",IF($G134="Alta",3,IF($G134="Media",2,1))*10+COUNTIF($H134:$J134,"Sí"))</f>
        <v/>
      </c>
      <c r="L134" s="8" t="str">
        <f aca="false">IF($K134="","",COUNTIFS($B$5:$B$304,$B134,$K$5:$K$304,"&gt;"&amp;$K134)+1)</f>
        <v/>
      </c>
      <c r="M134" s="8" t="str">
        <f aca="false">IF($L134="","",IF($L134&lt;=25,"Sí","No"))</f>
        <v/>
      </c>
      <c r="N134" s="13"/>
    </row>
    <row r="135" customFormat="false" ht="15" hidden="false" customHeight="false" outlineLevel="0" collapsed="false">
      <c r="A135" s="13"/>
      <c r="B135" s="13"/>
      <c r="C135" s="13"/>
      <c r="D135" s="13"/>
      <c r="E135" s="8" t="str">
        <f aca="false">IF($D135="","",IFERROR(INDEX(Catálogo!$B$2:$B$200,MATCH($D135,Catálogo!$A$2:$A$200,0)),"ID no existe"))</f>
        <v/>
      </c>
      <c r="F135" s="8" t="str">
        <f aca="false">IF($D135="","",IFERROR(INDEX(Catálogo!$C$2:$C$200,MATCH($D135,Catálogo!$A$2:$A$200,0)),""))</f>
        <v/>
      </c>
      <c r="G135" s="8" t="str">
        <f aca="false">IF($D135="","",IFERROR(INDEX(Catálogo!$P$2:$P$200,MATCH($D135,Catálogo!$A$2:$A$200,0)),""))</f>
        <v/>
      </c>
      <c r="H135" s="13"/>
      <c r="I135" s="13"/>
      <c r="J135" s="13"/>
      <c r="K135" s="8" t="str">
        <f aca="false">IF($G135="","",IF($G135="Alta",3,IF($G135="Media",2,1))*10+COUNTIF($H135:$J135,"Sí"))</f>
        <v/>
      </c>
      <c r="L135" s="8" t="str">
        <f aca="false">IF($K135="","",COUNTIFS($B$5:$B$304,$B135,$K$5:$K$304,"&gt;"&amp;$K135)+1)</f>
        <v/>
      </c>
      <c r="M135" s="8" t="str">
        <f aca="false">IF($L135="","",IF($L135&lt;=25,"Sí","No"))</f>
        <v/>
      </c>
      <c r="N135" s="13"/>
    </row>
    <row r="136" customFormat="false" ht="15" hidden="false" customHeight="false" outlineLevel="0" collapsed="false">
      <c r="A136" s="13"/>
      <c r="B136" s="13"/>
      <c r="C136" s="13"/>
      <c r="D136" s="13"/>
      <c r="E136" s="8" t="str">
        <f aca="false">IF($D136="","",IFERROR(INDEX(Catálogo!$B$2:$B$200,MATCH($D136,Catálogo!$A$2:$A$200,0)),"ID no existe"))</f>
        <v/>
      </c>
      <c r="F136" s="8" t="str">
        <f aca="false">IF($D136="","",IFERROR(INDEX(Catálogo!$C$2:$C$200,MATCH($D136,Catálogo!$A$2:$A$200,0)),""))</f>
        <v/>
      </c>
      <c r="G136" s="8" t="str">
        <f aca="false">IF($D136="","",IFERROR(INDEX(Catálogo!$P$2:$P$200,MATCH($D136,Catálogo!$A$2:$A$200,0)),""))</f>
        <v/>
      </c>
      <c r="H136" s="13"/>
      <c r="I136" s="13"/>
      <c r="J136" s="13"/>
      <c r="K136" s="8" t="str">
        <f aca="false">IF($G136="","",IF($G136="Alta",3,IF($G136="Media",2,1))*10+COUNTIF($H136:$J136,"Sí"))</f>
        <v/>
      </c>
      <c r="L136" s="8" t="str">
        <f aca="false">IF($K136="","",COUNTIFS($B$5:$B$304,$B136,$K$5:$K$304,"&gt;"&amp;$K136)+1)</f>
        <v/>
      </c>
      <c r="M136" s="8" t="str">
        <f aca="false">IF($L136="","",IF($L136&lt;=25,"Sí","No"))</f>
        <v/>
      </c>
      <c r="N136" s="13"/>
    </row>
    <row r="137" customFormat="false" ht="15" hidden="false" customHeight="false" outlineLevel="0" collapsed="false">
      <c r="A137" s="13"/>
      <c r="B137" s="13"/>
      <c r="C137" s="13"/>
      <c r="D137" s="13"/>
      <c r="E137" s="8" t="str">
        <f aca="false">IF($D137="","",IFERROR(INDEX(Catálogo!$B$2:$B$200,MATCH($D137,Catálogo!$A$2:$A$200,0)),"ID no existe"))</f>
        <v/>
      </c>
      <c r="F137" s="8" t="str">
        <f aca="false">IF($D137="","",IFERROR(INDEX(Catálogo!$C$2:$C$200,MATCH($D137,Catálogo!$A$2:$A$200,0)),""))</f>
        <v/>
      </c>
      <c r="G137" s="8" t="str">
        <f aca="false">IF($D137="","",IFERROR(INDEX(Catálogo!$P$2:$P$200,MATCH($D137,Catálogo!$A$2:$A$200,0)),""))</f>
        <v/>
      </c>
      <c r="H137" s="13"/>
      <c r="I137" s="13"/>
      <c r="J137" s="13"/>
      <c r="K137" s="8" t="str">
        <f aca="false">IF($G137="","",IF($G137="Alta",3,IF($G137="Media",2,1))*10+COUNTIF($H137:$J137,"Sí"))</f>
        <v/>
      </c>
      <c r="L137" s="8" t="str">
        <f aca="false">IF($K137="","",COUNTIFS($B$5:$B$304,$B137,$K$5:$K$304,"&gt;"&amp;$K137)+1)</f>
        <v/>
      </c>
      <c r="M137" s="8" t="str">
        <f aca="false">IF($L137="","",IF($L137&lt;=25,"Sí","No"))</f>
        <v/>
      </c>
      <c r="N137" s="13"/>
    </row>
    <row r="138" customFormat="false" ht="15" hidden="false" customHeight="false" outlineLevel="0" collapsed="false">
      <c r="A138" s="13"/>
      <c r="B138" s="13"/>
      <c r="C138" s="13"/>
      <c r="D138" s="13"/>
      <c r="E138" s="8" t="str">
        <f aca="false">IF($D138="","",IFERROR(INDEX(Catálogo!$B$2:$B$200,MATCH($D138,Catálogo!$A$2:$A$200,0)),"ID no existe"))</f>
        <v/>
      </c>
      <c r="F138" s="8" t="str">
        <f aca="false">IF($D138="","",IFERROR(INDEX(Catálogo!$C$2:$C$200,MATCH($D138,Catálogo!$A$2:$A$200,0)),""))</f>
        <v/>
      </c>
      <c r="G138" s="8" t="str">
        <f aca="false">IF($D138="","",IFERROR(INDEX(Catálogo!$P$2:$P$200,MATCH($D138,Catálogo!$A$2:$A$200,0)),""))</f>
        <v/>
      </c>
      <c r="H138" s="13"/>
      <c r="I138" s="13"/>
      <c r="J138" s="13"/>
      <c r="K138" s="8" t="str">
        <f aca="false">IF($G138="","",IF($G138="Alta",3,IF($G138="Media",2,1))*10+COUNTIF($H138:$J138,"Sí"))</f>
        <v/>
      </c>
      <c r="L138" s="8" t="str">
        <f aca="false">IF($K138="","",COUNTIFS($B$5:$B$304,$B138,$K$5:$K$304,"&gt;"&amp;$K138)+1)</f>
        <v/>
      </c>
      <c r="M138" s="8" t="str">
        <f aca="false">IF($L138="","",IF($L138&lt;=25,"Sí","No"))</f>
        <v/>
      </c>
      <c r="N138" s="13"/>
    </row>
    <row r="139" customFormat="false" ht="15" hidden="false" customHeight="false" outlineLevel="0" collapsed="false">
      <c r="A139" s="13"/>
      <c r="B139" s="13"/>
      <c r="C139" s="13"/>
      <c r="D139" s="13"/>
      <c r="E139" s="8" t="str">
        <f aca="false">IF($D139="","",IFERROR(INDEX(Catálogo!$B$2:$B$200,MATCH($D139,Catálogo!$A$2:$A$200,0)),"ID no existe"))</f>
        <v/>
      </c>
      <c r="F139" s="8" t="str">
        <f aca="false">IF($D139="","",IFERROR(INDEX(Catálogo!$C$2:$C$200,MATCH($D139,Catálogo!$A$2:$A$200,0)),""))</f>
        <v/>
      </c>
      <c r="G139" s="8" t="str">
        <f aca="false">IF($D139="","",IFERROR(INDEX(Catálogo!$P$2:$P$200,MATCH($D139,Catálogo!$A$2:$A$200,0)),""))</f>
        <v/>
      </c>
      <c r="H139" s="13"/>
      <c r="I139" s="13"/>
      <c r="J139" s="13"/>
      <c r="K139" s="8" t="str">
        <f aca="false">IF($G139="","",IF($G139="Alta",3,IF($G139="Media",2,1))*10+COUNTIF($H139:$J139,"Sí"))</f>
        <v/>
      </c>
      <c r="L139" s="8" t="str">
        <f aca="false">IF($K139="","",COUNTIFS($B$5:$B$304,$B139,$K$5:$K$304,"&gt;"&amp;$K139)+1)</f>
        <v/>
      </c>
      <c r="M139" s="8" t="str">
        <f aca="false">IF($L139="","",IF($L139&lt;=25,"Sí","No"))</f>
        <v/>
      </c>
      <c r="N139" s="13"/>
    </row>
    <row r="140" customFormat="false" ht="15" hidden="false" customHeight="false" outlineLevel="0" collapsed="false">
      <c r="A140" s="13"/>
      <c r="B140" s="13"/>
      <c r="C140" s="13"/>
      <c r="D140" s="13"/>
      <c r="E140" s="8" t="str">
        <f aca="false">IF($D140="","",IFERROR(INDEX(Catálogo!$B$2:$B$200,MATCH($D140,Catálogo!$A$2:$A$200,0)),"ID no existe"))</f>
        <v/>
      </c>
      <c r="F140" s="8" t="str">
        <f aca="false">IF($D140="","",IFERROR(INDEX(Catálogo!$C$2:$C$200,MATCH($D140,Catálogo!$A$2:$A$200,0)),""))</f>
        <v/>
      </c>
      <c r="G140" s="8" t="str">
        <f aca="false">IF($D140="","",IFERROR(INDEX(Catálogo!$P$2:$P$200,MATCH($D140,Catálogo!$A$2:$A$200,0)),""))</f>
        <v/>
      </c>
      <c r="H140" s="13"/>
      <c r="I140" s="13"/>
      <c r="J140" s="13"/>
      <c r="K140" s="8" t="str">
        <f aca="false">IF($G140="","",IF($G140="Alta",3,IF($G140="Media",2,1))*10+COUNTIF($H140:$J140,"Sí"))</f>
        <v/>
      </c>
      <c r="L140" s="8" t="str">
        <f aca="false">IF($K140="","",COUNTIFS($B$5:$B$304,$B140,$K$5:$K$304,"&gt;"&amp;$K140)+1)</f>
        <v/>
      </c>
      <c r="M140" s="8" t="str">
        <f aca="false">IF($L140="","",IF($L140&lt;=25,"Sí","No"))</f>
        <v/>
      </c>
      <c r="N140" s="13"/>
    </row>
    <row r="141" customFormat="false" ht="15" hidden="false" customHeight="false" outlineLevel="0" collapsed="false">
      <c r="A141" s="13"/>
      <c r="B141" s="13"/>
      <c r="C141" s="13"/>
      <c r="D141" s="13"/>
      <c r="E141" s="8" t="str">
        <f aca="false">IF($D141="","",IFERROR(INDEX(Catálogo!$B$2:$B$200,MATCH($D141,Catálogo!$A$2:$A$200,0)),"ID no existe"))</f>
        <v/>
      </c>
      <c r="F141" s="8" t="str">
        <f aca="false">IF($D141="","",IFERROR(INDEX(Catálogo!$C$2:$C$200,MATCH($D141,Catálogo!$A$2:$A$200,0)),""))</f>
        <v/>
      </c>
      <c r="G141" s="8" t="str">
        <f aca="false">IF($D141="","",IFERROR(INDEX(Catálogo!$P$2:$P$200,MATCH($D141,Catálogo!$A$2:$A$200,0)),""))</f>
        <v/>
      </c>
      <c r="H141" s="13"/>
      <c r="I141" s="13"/>
      <c r="J141" s="13"/>
      <c r="K141" s="8" t="str">
        <f aca="false">IF($G141="","",IF($G141="Alta",3,IF($G141="Media",2,1))*10+COUNTIF($H141:$J141,"Sí"))</f>
        <v/>
      </c>
      <c r="L141" s="8" t="str">
        <f aca="false">IF($K141="","",COUNTIFS($B$5:$B$304,$B141,$K$5:$K$304,"&gt;"&amp;$K141)+1)</f>
        <v/>
      </c>
      <c r="M141" s="8" t="str">
        <f aca="false">IF($L141="","",IF($L141&lt;=25,"Sí","No"))</f>
        <v/>
      </c>
      <c r="N141" s="13"/>
    </row>
    <row r="142" customFormat="false" ht="15" hidden="false" customHeight="false" outlineLevel="0" collapsed="false">
      <c r="A142" s="13"/>
      <c r="B142" s="13"/>
      <c r="C142" s="13"/>
      <c r="D142" s="13"/>
      <c r="E142" s="8" t="str">
        <f aca="false">IF($D142="","",IFERROR(INDEX(Catálogo!$B$2:$B$200,MATCH($D142,Catálogo!$A$2:$A$200,0)),"ID no existe"))</f>
        <v/>
      </c>
      <c r="F142" s="8" t="str">
        <f aca="false">IF($D142="","",IFERROR(INDEX(Catálogo!$C$2:$C$200,MATCH($D142,Catálogo!$A$2:$A$200,0)),""))</f>
        <v/>
      </c>
      <c r="G142" s="8" t="str">
        <f aca="false">IF($D142="","",IFERROR(INDEX(Catálogo!$P$2:$P$200,MATCH($D142,Catálogo!$A$2:$A$200,0)),""))</f>
        <v/>
      </c>
      <c r="H142" s="13"/>
      <c r="I142" s="13"/>
      <c r="J142" s="13"/>
      <c r="K142" s="8" t="str">
        <f aca="false">IF($G142="","",IF($G142="Alta",3,IF($G142="Media",2,1))*10+COUNTIF($H142:$J142,"Sí"))</f>
        <v/>
      </c>
      <c r="L142" s="8" t="str">
        <f aca="false">IF($K142="","",COUNTIFS($B$5:$B$304,$B142,$K$5:$K$304,"&gt;"&amp;$K142)+1)</f>
        <v/>
      </c>
      <c r="M142" s="8" t="str">
        <f aca="false">IF($L142="","",IF($L142&lt;=25,"Sí","No"))</f>
        <v/>
      </c>
      <c r="N142" s="13"/>
    </row>
    <row r="143" customFormat="false" ht="15" hidden="false" customHeight="false" outlineLevel="0" collapsed="false">
      <c r="A143" s="13"/>
      <c r="B143" s="13"/>
      <c r="C143" s="13"/>
      <c r="D143" s="13"/>
      <c r="E143" s="8" t="str">
        <f aca="false">IF($D143="","",IFERROR(INDEX(Catálogo!$B$2:$B$200,MATCH($D143,Catálogo!$A$2:$A$200,0)),"ID no existe"))</f>
        <v/>
      </c>
      <c r="F143" s="8" t="str">
        <f aca="false">IF($D143="","",IFERROR(INDEX(Catálogo!$C$2:$C$200,MATCH($D143,Catálogo!$A$2:$A$200,0)),""))</f>
        <v/>
      </c>
      <c r="G143" s="8" t="str">
        <f aca="false">IF($D143="","",IFERROR(INDEX(Catálogo!$P$2:$P$200,MATCH($D143,Catálogo!$A$2:$A$200,0)),""))</f>
        <v/>
      </c>
      <c r="H143" s="13"/>
      <c r="I143" s="13"/>
      <c r="J143" s="13"/>
      <c r="K143" s="8" t="str">
        <f aca="false">IF($G143="","",IF($G143="Alta",3,IF($G143="Media",2,1))*10+COUNTIF($H143:$J143,"Sí"))</f>
        <v/>
      </c>
      <c r="L143" s="8" t="str">
        <f aca="false">IF($K143="","",COUNTIFS($B$5:$B$304,$B143,$K$5:$K$304,"&gt;"&amp;$K143)+1)</f>
        <v/>
      </c>
      <c r="M143" s="8" t="str">
        <f aca="false">IF($L143="","",IF($L143&lt;=25,"Sí","No"))</f>
        <v/>
      </c>
      <c r="N143" s="13"/>
    </row>
    <row r="144" customFormat="false" ht="15" hidden="false" customHeight="false" outlineLevel="0" collapsed="false">
      <c r="A144" s="13"/>
      <c r="B144" s="13"/>
      <c r="C144" s="13"/>
      <c r="D144" s="13"/>
      <c r="E144" s="8" t="str">
        <f aca="false">IF($D144="","",IFERROR(INDEX(Catálogo!$B$2:$B$200,MATCH($D144,Catálogo!$A$2:$A$200,0)),"ID no existe"))</f>
        <v/>
      </c>
      <c r="F144" s="8" t="str">
        <f aca="false">IF($D144="","",IFERROR(INDEX(Catálogo!$C$2:$C$200,MATCH($D144,Catálogo!$A$2:$A$200,0)),""))</f>
        <v/>
      </c>
      <c r="G144" s="8" t="str">
        <f aca="false">IF($D144="","",IFERROR(INDEX(Catálogo!$P$2:$P$200,MATCH($D144,Catálogo!$A$2:$A$200,0)),""))</f>
        <v/>
      </c>
      <c r="H144" s="13"/>
      <c r="I144" s="13"/>
      <c r="J144" s="13"/>
      <c r="K144" s="8" t="str">
        <f aca="false">IF($G144="","",IF($G144="Alta",3,IF($G144="Media",2,1))*10+COUNTIF($H144:$J144,"Sí"))</f>
        <v/>
      </c>
      <c r="L144" s="8" t="str">
        <f aca="false">IF($K144="","",COUNTIFS($B$5:$B$304,$B144,$K$5:$K$304,"&gt;"&amp;$K144)+1)</f>
        <v/>
      </c>
      <c r="M144" s="8" t="str">
        <f aca="false">IF($L144="","",IF($L144&lt;=25,"Sí","No"))</f>
        <v/>
      </c>
      <c r="N144" s="13"/>
    </row>
    <row r="145" customFormat="false" ht="15" hidden="false" customHeight="false" outlineLevel="0" collapsed="false">
      <c r="A145" s="13"/>
      <c r="B145" s="13"/>
      <c r="C145" s="13"/>
      <c r="D145" s="13"/>
      <c r="E145" s="8" t="str">
        <f aca="false">IF($D145="","",IFERROR(INDEX(Catálogo!$B$2:$B$200,MATCH($D145,Catálogo!$A$2:$A$200,0)),"ID no existe"))</f>
        <v/>
      </c>
      <c r="F145" s="8" t="str">
        <f aca="false">IF($D145="","",IFERROR(INDEX(Catálogo!$C$2:$C$200,MATCH($D145,Catálogo!$A$2:$A$200,0)),""))</f>
        <v/>
      </c>
      <c r="G145" s="8" t="str">
        <f aca="false">IF($D145="","",IFERROR(INDEX(Catálogo!$P$2:$P$200,MATCH($D145,Catálogo!$A$2:$A$200,0)),""))</f>
        <v/>
      </c>
      <c r="H145" s="13"/>
      <c r="I145" s="13"/>
      <c r="J145" s="13"/>
      <c r="K145" s="8" t="str">
        <f aca="false">IF($G145="","",IF($G145="Alta",3,IF($G145="Media",2,1))*10+COUNTIF($H145:$J145,"Sí"))</f>
        <v/>
      </c>
      <c r="L145" s="8" t="str">
        <f aca="false">IF($K145="","",COUNTIFS($B$5:$B$304,$B145,$K$5:$K$304,"&gt;"&amp;$K145)+1)</f>
        <v/>
      </c>
      <c r="M145" s="8" t="str">
        <f aca="false">IF($L145="","",IF($L145&lt;=25,"Sí","No"))</f>
        <v/>
      </c>
      <c r="N145" s="13"/>
    </row>
    <row r="146" customFormat="false" ht="15" hidden="false" customHeight="false" outlineLevel="0" collapsed="false">
      <c r="A146" s="13"/>
      <c r="B146" s="13"/>
      <c r="C146" s="13"/>
      <c r="D146" s="13"/>
      <c r="E146" s="8" t="str">
        <f aca="false">IF($D146="","",IFERROR(INDEX(Catálogo!$B$2:$B$200,MATCH($D146,Catálogo!$A$2:$A$200,0)),"ID no existe"))</f>
        <v/>
      </c>
      <c r="F146" s="8" t="str">
        <f aca="false">IF($D146="","",IFERROR(INDEX(Catálogo!$C$2:$C$200,MATCH($D146,Catálogo!$A$2:$A$200,0)),""))</f>
        <v/>
      </c>
      <c r="G146" s="8" t="str">
        <f aca="false">IF($D146="","",IFERROR(INDEX(Catálogo!$P$2:$P$200,MATCH($D146,Catálogo!$A$2:$A$200,0)),""))</f>
        <v/>
      </c>
      <c r="H146" s="13"/>
      <c r="I146" s="13"/>
      <c r="J146" s="13"/>
      <c r="K146" s="8" t="str">
        <f aca="false">IF($G146="","",IF($G146="Alta",3,IF($G146="Media",2,1))*10+COUNTIF($H146:$J146,"Sí"))</f>
        <v/>
      </c>
      <c r="L146" s="8" t="str">
        <f aca="false">IF($K146="","",COUNTIFS($B$5:$B$304,$B146,$K$5:$K$304,"&gt;"&amp;$K146)+1)</f>
        <v/>
      </c>
      <c r="M146" s="8" t="str">
        <f aca="false">IF($L146="","",IF($L146&lt;=25,"Sí","No"))</f>
        <v/>
      </c>
      <c r="N146" s="13"/>
    </row>
    <row r="147" customFormat="false" ht="15" hidden="false" customHeight="false" outlineLevel="0" collapsed="false">
      <c r="A147" s="13"/>
      <c r="B147" s="13"/>
      <c r="C147" s="13"/>
      <c r="D147" s="13"/>
      <c r="E147" s="8" t="str">
        <f aca="false">IF($D147="","",IFERROR(INDEX(Catálogo!$B$2:$B$200,MATCH($D147,Catálogo!$A$2:$A$200,0)),"ID no existe"))</f>
        <v/>
      </c>
      <c r="F147" s="8" t="str">
        <f aca="false">IF($D147="","",IFERROR(INDEX(Catálogo!$C$2:$C$200,MATCH($D147,Catálogo!$A$2:$A$200,0)),""))</f>
        <v/>
      </c>
      <c r="G147" s="8" t="str">
        <f aca="false">IF($D147="","",IFERROR(INDEX(Catálogo!$P$2:$P$200,MATCH($D147,Catálogo!$A$2:$A$200,0)),""))</f>
        <v/>
      </c>
      <c r="H147" s="13"/>
      <c r="I147" s="13"/>
      <c r="J147" s="13"/>
      <c r="K147" s="8" t="str">
        <f aca="false">IF($G147="","",IF($G147="Alta",3,IF($G147="Media",2,1))*10+COUNTIF($H147:$J147,"Sí"))</f>
        <v/>
      </c>
      <c r="L147" s="8" t="str">
        <f aca="false">IF($K147="","",COUNTIFS($B$5:$B$304,$B147,$K$5:$K$304,"&gt;"&amp;$K147)+1)</f>
        <v/>
      </c>
      <c r="M147" s="8" t="str">
        <f aca="false">IF($L147="","",IF($L147&lt;=25,"Sí","No"))</f>
        <v/>
      </c>
      <c r="N147" s="13"/>
    </row>
    <row r="148" customFormat="false" ht="15" hidden="false" customHeight="false" outlineLevel="0" collapsed="false">
      <c r="A148" s="13"/>
      <c r="B148" s="13"/>
      <c r="C148" s="13"/>
      <c r="D148" s="13"/>
      <c r="E148" s="8" t="str">
        <f aca="false">IF($D148="","",IFERROR(INDEX(Catálogo!$B$2:$B$200,MATCH($D148,Catálogo!$A$2:$A$200,0)),"ID no existe"))</f>
        <v/>
      </c>
      <c r="F148" s="8" t="str">
        <f aca="false">IF($D148="","",IFERROR(INDEX(Catálogo!$C$2:$C$200,MATCH($D148,Catálogo!$A$2:$A$200,0)),""))</f>
        <v/>
      </c>
      <c r="G148" s="8" t="str">
        <f aca="false">IF($D148="","",IFERROR(INDEX(Catálogo!$P$2:$P$200,MATCH($D148,Catálogo!$A$2:$A$200,0)),""))</f>
        <v/>
      </c>
      <c r="H148" s="13"/>
      <c r="I148" s="13"/>
      <c r="J148" s="13"/>
      <c r="K148" s="8" t="str">
        <f aca="false">IF($G148="","",IF($G148="Alta",3,IF($G148="Media",2,1))*10+COUNTIF($H148:$J148,"Sí"))</f>
        <v/>
      </c>
      <c r="L148" s="8" t="str">
        <f aca="false">IF($K148="","",COUNTIFS($B$5:$B$304,$B148,$K$5:$K$304,"&gt;"&amp;$K148)+1)</f>
        <v/>
      </c>
      <c r="M148" s="8" t="str">
        <f aca="false">IF($L148="","",IF($L148&lt;=25,"Sí","No"))</f>
        <v/>
      </c>
      <c r="N148" s="13"/>
    </row>
    <row r="149" customFormat="false" ht="15" hidden="false" customHeight="false" outlineLevel="0" collapsed="false">
      <c r="A149" s="13"/>
      <c r="B149" s="13"/>
      <c r="C149" s="13"/>
      <c r="D149" s="13"/>
      <c r="E149" s="8" t="str">
        <f aca="false">IF($D149="","",IFERROR(INDEX(Catálogo!$B$2:$B$200,MATCH($D149,Catálogo!$A$2:$A$200,0)),"ID no existe"))</f>
        <v/>
      </c>
      <c r="F149" s="8" t="str">
        <f aca="false">IF($D149="","",IFERROR(INDEX(Catálogo!$C$2:$C$200,MATCH($D149,Catálogo!$A$2:$A$200,0)),""))</f>
        <v/>
      </c>
      <c r="G149" s="8" t="str">
        <f aca="false">IF($D149="","",IFERROR(INDEX(Catálogo!$P$2:$P$200,MATCH($D149,Catálogo!$A$2:$A$200,0)),""))</f>
        <v/>
      </c>
      <c r="H149" s="13"/>
      <c r="I149" s="13"/>
      <c r="J149" s="13"/>
      <c r="K149" s="8" t="str">
        <f aca="false">IF($G149="","",IF($G149="Alta",3,IF($G149="Media",2,1))*10+COUNTIF($H149:$J149,"Sí"))</f>
        <v/>
      </c>
      <c r="L149" s="8" t="str">
        <f aca="false">IF($K149="","",COUNTIFS($B$5:$B$304,$B149,$K$5:$K$304,"&gt;"&amp;$K149)+1)</f>
        <v/>
      </c>
      <c r="M149" s="8" t="str">
        <f aca="false">IF($L149="","",IF($L149&lt;=25,"Sí","No"))</f>
        <v/>
      </c>
      <c r="N149" s="13"/>
    </row>
    <row r="150" customFormat="false" ht="15" hidden="false" customHeight="false" outlineLevel="0" collapsed="false">
      <c r="A150" s="13"/>
      <c r="B150" s="13"/>
      <c r="C150" s="13"/>
      <c r="D150" s="13"/>
      <c r="E150" s="8" t="str">
        <f aca="false">IF($D150="","",IFERROR(INDEX(Catálogo!$B$2:$B$200,MATCH($D150,Catálogo!$A$2:$A$200,0)),"ID no existe"))</f>
        <v/>
      </c>
      <c r="F150" s="8" t="str">
        <f aca="false">IF($D150="","",IFERROR(INDEX(Catálogo!$C$2:$C$200,MATCH($D150,Catálogo!$A$2:$A$200,0)),""))</f>
        <v/>
      </c>
      <c r="G150" s="8" t="str">
        <f aca="false">IF($D150="","",IFERROR(INDEX(Catálogo!$P$2:$P$200,MATCH($D150,Catálogo!$A$2:$A$200,0)),""))</f>
        <v/>
      </c>
      <c r="H150" s="13"/>
      <c r="I150" s="13"/>
      <c r="J150" s="13"/>
      <c r="K150" s="8" t="str">
        <f aca="false">IF($G150="","",IF($G150="Alta",3,IF($G150="Media",2,1))*10+COUNTIF($H150:$J150,"Sí"))</f>
        <v/>
      </c>
      <c r="L150" s="8" t="str">
        <f aca="false">IF($K150="","",COUNTIFS($B$5:$B$304,$B150,$K$5:$K$304,"&gt;"&amp;$K150)+1)</f>
        <v/>
      </c>
      <c r="M150" s="8" t="str">
        <f aca="false">IF($L150="","",IF($L150&lt;=25,"Sí","No"))</f>
        <v/>
      </c>
      <c r="N150" s="13"/>
    </row>
    <row r="151" customFormat="false" ht="15" hidden="false" customHeight="false" outlineLevel="0" collapsed="false">
      <c r="A151" s="13"/>
      <c r="B151" s="13"/>
      <c r="C151" s="13"/>
      <c r="D151" s="13"/>
      <c r="E151" s="8" t="str">
        <f aca="false">IF($D151="","",IFERROR(INDEX(Catálogo!$B$2:$B$200,MATCH($D151,Catálogo!$A$2:$A$200,0)),"ID no existe"))</f>
        <v/>
      </c>
      <c r="F151" s="8" t="str">
        <f aca="false">IF($D151="","",IFERROR(INDEX(Catálogo!$C$2:$C$200,MATCH($D151,Catálogo!$A$2:$A$200,0)),""))</f>
        <v/>
      </c>
      <c r="G151" s="8" t="str">
        <f aca="false">IF($D151="","",IFERROR(INDEX(Catálogo!$P$2:$P$200,MATCH($D151,Catálogo!$A$2:$A$200,0)),""))</f>
        <v/>
      </c>
      <c r="H151" s="13"/>
      <c r="I151" s="13"/>
      <c r="J151" s="13"/>
      <c r="K151" s="8" t="str">
        <f aca="false">IF($G151="","",IF($G151="Alta",3,IF($G151="Media",2,1))*10+COUNTIF($H151:$J151,"Sí"))</f>
        <v/>
      </c>
      <c r="L151" s="8" t="str">
        <f aca="false">IF($K151="","",COUNTIFS($B$5:$B$304,$B151,$K$5:$K$304,"&gt;"&amp;$K151)+1)</f>
        <v/>
      </c>
      <c r="M151" s="8" t="str">
        <f aca="false">IF($L151="","",IF($L151&lt;=25,"Sí","No"))</f>
        <v/>
      </c>
      <c r="N151" s="13"/>
    </row>
    <row r="152" customFormat="false" ht="15" hidden="false" customHeight="false" outlineLevel="0" collapsed="false">
      <c r="A152" s="13"/>
      <c r="B152" s="13"/>
      <c r="C152" s="13"/>
      <c r="D152" s="13"/>
      <c r="E152" s="8" t="str">
        <f aca="false">IF($D152="","",IFERROR(INDEX(Catálogo!$B$2:$B$200,MATCH($D152,Catálogo!$A$2:$A$200,0)),"ID no existe"))</f>
        <v/>
      </c>
      <c r="F152" s="8" t="str">
        <f aca="false">IF($D152="","",IFERROR(INDEX(Catálogo!$C$2:$C$200,MATCH($D152,Catálogo!$A$2:$A$200,0)),""))</f>
        <v/>
      </c>
      <c r="G152" s="8" t="str">
        <f aca="false">IF($D152="","",IFERROR(INDEX(Catálogo!$P$2:$P$200,MATCH($D152,Catálogo!$A$2:$A$200,0)),""))</f>
        <v/>
      </c>
      <c r="H152" s="13"/>
      <c r="I152" s="13"/>
      <c r="J152" s="13"/>
      <c r="K152" s="8" t="str">
        <f aca="false">IF($G152="","",IF($G152="Alta",3,IF($G152="Media",2,1))*10+COUNTIF($H152:$J152,"Sí"))</f>
        <v/>
      </c>
      <c r="L152" s="8" t="str">
        <f aca="false">IF($K152="","",COUNTIFS($B$5:$B$304,$B152,$K$5:$K$304,"&gt;"&amp;$K152)+1)</f>
        <v/>
      </c>
      <c r="M152" s="8" t="str">
        <f aca="false">IF($L152="","",IF($L152&lt;=25,"Sí","No"))</f>
        <v/>
      </c>
      <c r="N152" s="13"/>
    </row>
    <row r="153" customFormat="false" ht="15" hidden="false" customHeight="false" outlineLevel="0" collapsed="false">
      <c r="A153" s="13"/>
      <c r="B153" s="13"/>
      <c r="C153" s="13"/>
      <c r="D153" s="13"/>
      <c r="E153" s="8" t="str">
        <f aca="false">IF($D153="","",IFERROR(INDEX(Catálogo!$B$2:$B$200,MATCH($D153,Catálogo!$A$2:$A$200,0)),"ID no existe"))</f>
        <v/>
      </c>
      <c r="F153" s="8" t="str">
        <f aca="false">IF($D153="","",IFERROR(INDEX(Catálogo!$C$2:$C$200,MATCH($D153,Catálogo!$A$2:$A$200,0)),""))</f>
        <v/>
      </c>
      <c r="G153" s="8" t="str">
        <f aca="false">IF($D153="","",IFERROR(INDEX(Catálogo!$P$2:$P$200,MATCH($D153,Catálogo!$A$2:$A$200,0)),""))</f>
        <v/>
      </c>
      <c r="H153" s="13"/>
      <c r="I153" s="13"/>
      <c r="J153" s="13"/>
      <c r="K153" s="8" t="str">
        <f aca="false">IF($G153="","",IF($G153="Alta",3,IF($G153="Media",2,1))*10+COUNTIF($H153:$J153,"Sí"))</f>
        <v/>
      </c>
      <c r="L153" s="8" t="str">
        <f aca="false">IF($K153="","",COUNTIFS($B$5:$B$304,$B153,$K$5:$K$304,"&gt;"&amp;$K153)+1)</f>
        <v/>
      </c>
      <c r="M153" s="8" t="str">
        <f aca="false">IF($L153="","",IF($L153&lt;=25,"Sí","No"))</f>
        <v/>
      </c>
      <c r="N153" s="13"/>
    </row>
    <row r="154" customFormat="false" ht="15" hidden="false" customHeight="false" outlineLevel="0" collapsed="false">
      <c r="A154" s="13"/>
      <c r="B154" s="13"/>
      <c r="C154" s="13"/>
      <c r="D154" s="13"/>
      <c r="E154" s="8" t="str">
        <f aca="false">IF($D154="","",IFERROR(INDEX(Catálogo!$B$2:$B$200,MATCH($D154,Catálogo!$A$2:$A$200,0)),"ID no existe"))</f>
        <v/>
      </c>
      <c r="F154" s="8" t="str">
        <f aca="false">IF($D154="","",IFERROR(INDEX(Catálogo!$C$2:$C$200,MATCH($D154,Catálogo!$A$2:$A$200,0)),""))</f>
        <v/>
      </c>
      <c r="G154" s="8" t="str">
        <f aca="false">IF($D154="","",IFERROR(INDEX(Catálogo!$P$2:$P$200,MATCH($D154,Catálogo!$A$2:$A$200,0)),""))</f>
        <v/>
      </c>
      <c r="H154" s="13"/>
      <c r="I154" s="13"/>
      <c r="J154" s="13"/>
      <c r="K154" s="8" t="str">
        <f aca="false">IF($G154="","",IF($G154="Alta",3,IF($G154="Media",2,1))*10+COUNTIF($H154:$J154,"Sí"))</f>
        <v/>
      </c>
      <c r="L154" s="8" t="str">
        <f aca="false">IF($K154="","",COUNTIFS($B$5:$B$304,$B154,$K$5:$K$304,"&gt;"&amp;$K154)+1)</f>
        <v/>
      </c>
      <c r="M154" s="8" t="str">
        <f aca="false">IF($L154="","",IF($L154&lt;=25,"Sí","No"))</f>
        <v/>
      </c>
      <c r="N154" s="13"/>
    </row>
    <row r="155" customFormat="false" ht="15" hidden="false" customHeight="false" outlineLevel="0" collapsed="false">
      <c r="A155" s="13"/>
      <c r="B155" s="13"/>
      <c r="C155" s="13"/>
      <c r="D155" s="13"/>
      <c r="E155" s="8" t="str">
        <f aca="false">IF($D155="","",IFERROR(INDEX(Catálogo!$B$2:$B$200,MATCH($D155,Catálogo!$A$2:$A$200,0)),"ID no existe"))</f>
        <v/>
      </c>
      <c r="F155" s="8" t="str">
        <f aca="false">IF($D155="","",IFERROR(INDEX(Catálogo!$C$2:$C$200,MATCH($D155,Catálogo!$A$2:$A$200,0)),""))</f>
        <v/>
      </c>
      <c r="G155" s="8" t="str">
        <f aca="false">IF($D155="","",IFERROR(INDEX(Catálogo!$P$2:$P$200,MATCH($D155,Catálogo!$A$2:$A$200,0)),""))</f>
        <v/>
      </c>
      <c r="H155" s="13"/>
      <c r="I155" s="13"/>
      <c r="J155" s="13"/>
      <c r="K155" s="8" t="str">
        <f aca="false">IF($G155="","",IF($G155="Alta",3,IF($G155="Media",2,1))*10+COUNTIF($H155:$J155,"Sí"))</f>
        <v/>
      </c>
      <c r="L155" s="8" t="str">
        <f aca="false">IF($K155="","",COUNTIFS($B$5:$B$304,$B155,$K$5:$K$304,"&gt;"&amp;$K155)+1)</f>
        <v/>
      </c>
      <c r="M155" s="8" t="str">
        <f aca="false">IF($L155="","",IF($L155&lt;=25,"Sí","No"))</f>
        <v/>
      </c>
      <c r="N155" s="13"/>
    </row>
    <row r="156" customFormat="false" ht="15" hidden="false" customHeight="false" outlineLevel="0" collapsed="false">
      <c r="A156" s="13"/>
      <c r="B156" s="13"/>
      <c r="C156" s="13"/>
      <c r="D156" s="13"/>
      <c r="E156" s="8" t="str">
        <f aca="false">IF($D156="","",IFERROR(INDEX(Catálogo!$B$2:$B$200,MATCH($D156,Catálogo!$A$2:$A$200,0)),"ID no existe"))</f>
        <v/>
      </c>
      <c r="F156" s="8" t="str">
        <f aca="false">IF($D156="","",IFERROR(INDEX(Catálogo!$C$2:$C$200,MATCH($D156,Catálogo!$A$2:$A$200,0)),""))</f>
        <v/>
      </c>
      <c r="G156" s="8" t="str">
        <f aca="false">IF($D156="","",IFERROR(INDEX(Catálogo!$P$2:$P$200,MATCH($D156,Catálogo!$A$2:$A$200,0)),""))</f>
        <v/>
      </c>
      <c r="H156" s="13"/>
      <c r="I156" s="13"/>
      <c r="J156" s="13"/>
      <c r="K156" s="8" t="str">
        <f aca="false">IF($G156="","",IF($G156="Alta",3,IF($G156="Media",2,1))*10+COUNTIF($H156:$J156,"Sí"))</f>
        <v/>
      </c>
      <c r="L156" s="8" t="str">
        <f aca="false">IF($K156="","",COUNTIFS($B$5:$B$304,$B156,$K$5:$K$304,"&gt;"&amp;$K156)+1)</f>
        <v/>
      </c>
      <c r="M156" s="8" t="str">
        <f aca="false">IF($L156="","",IF($L156&lt;=25,"Sí","No"))</f>
        <v/>
      </c>
      <c r="N156" s="13"/>
    </row>
    <row r="157" customFormat="false" ht="15" hidden="false" customHeight="false" outlineLevel="0" collapsed="false">
      <c r="A157" s="13"/>
      <c r="B157" s="13"/>
      <c r="C157" s="13"/>
      <c r="D157" s="13"/>
      <c r="E157" s="8" t="str">
        <f aca="false">IF($D157="","",IFERROR(INDEX(Catálogo!$B$2:$B$200,MATCH($D157,Catálogo!$A$2:$A$200,0)),"ID no existe"))</f>
        <v/>
      </c>
      <c r="F157" s="8" t="str">
        <f aca="false">IF($D157="","",IFERROR(INDEX(Catálogo!$C$2:$C$200,MATCH($D157,Catálogo!$A$2:$A$200,0)),""))</f>
        <v/>
      </c>
      <c r="G157" s="8" t="str">
        <f aca="false">IF($D157="","",IFERROR(INDEX(Catálogo!$P$2:$P$200,MATCH($D157,Catálogo!$A$2:$A$200,0)),""))</f>
        <v/>
      </c>
      <c r="H157" s="13"/>
      <c r="I157" s="13"/>
      <c r="J157" s="13"/>
      <c r="K157" s="8" t="str">
        <f aca="false">IF($G157="","",IF($G157="Alta",3,IF($G157="Media",2,1))*10+COUNTIF($H157:$J157,"Sí"))</f>
        <v/>
      </c>
      <c r="L157" s="8" t="str">
        <f aca="false">IF($K157="","",COUNTIFS($B$5:$B$304,$B157,$K$5:$K$304,"&gt;"&amp;$K157)+1)</f>
        <v/>
      </c>
      <c r="M157" s="8" t="str">
        <f aca="false">IF($L157="","",IF($L157&lt;=25,"Sí","No"))</f>
        <v/>
      </c>
      <c r="N157" s="13"/>
    </row>
    <row r="158" customFormat="false" ht="15" hidden="false" customHeight="false" outlineLevel="0" collapsed="false">
      <c r="A158" s="13"/>
      <c r="B158" s="13"/>
      <c r="C158" s="13"/>
      <c r="D158" s="13"/>
      <c r="E158" s="8" t="str">
        <f aca="false">IF($D158="","",IFERROR(INDEX(Catálogo!$B$2:$B$200,MATCH($D158,Catálogo!$A$2:$A$200,0)),"ID no existe"))</f>
        <v/>
      </c>
      <c r="F158" s="8" t="str">
        <f aca="false">IF($D158="","",IFERROR(INDEX(Catálogo!$C$2:$C$200,MATCH($D158,Catálogo!$A$2:$A$200,0)),""))</f>
        <v/>
      </c>
      <c r="G158" s="8" t="str">
        <f aca="false">IF($D158="","",IFERROR(INDEX(Catálogo!$P$2:$P$200,MATCH($D158,Catálogo!$A$2:$A$200,0)),""))</f>
        <v/>
      </c>
      <c r="H158" s="13"/>
      <c r="I158" s="13"/>
      <c r="J158" s="13"/>
      <c r="K158" s="8" t="str">
        <f aca="false">IF($G158="","",IF($G158="Alta",3,IF($G158="Media",2,1))*10+COUNTIF($H158:$J158,"Sí"))</f>
        <v/>
      </c>
      <c r="L158" s="8" t="str">
        <f aca="false">IF($K158="","",COUNTIFS($B$5:$B$304,$B158,$K$5:$K$304,"&gt;"&amp;$K158)+1)</f>
        <v/>
      </c>
      <c r="M158" s="8" t="str">
        <f aca="false">IF($L158="","",IF($L158&lt;=25,"Sí","No"))</f>
        <v/>
      </c>
      <c r="N158" s="13"/>
    </row>
    <row r="159" customFormat="false" ht="15" hidden="false" customHeight="false" outlineLevel="0" collapsed="false">
      <c r="A159" s="13"/>
      <c r="B159" s="13"/>
      <c r="C159" s="13"/>
      <c r="D159" s="13"/>
      <c r="E159" s="8" t="str">
        <f aca="false">IF($D159="","",IFERROR(INDEX(Catálogo!$B$2:$B$200,MATCH($D159,Catálogo!$A$2:$A$200,0)),"ID no existe"))</f>
        <v/>
      </c>
      <c r="F159" s="8" t="str">
        <f aca="false">IF($D159="","",IFERROR(INDEX(Catálogo!$C$2:$C$200,MATCH($D159,Catálogo!$A$2:$A$200,0)),""))</f>
        <v/>
      </c>
      <c r="G159" s="8" t="str">
        <f aca="false">IF($D159="","",IFERROR(INDEX(Catálogo!$P$2:$P$200,MATCH($D159,Catálogo!$A$2:$A$200,0)),""))</f>
        <v/>
      </c>
      <c r="H159" s="13"/>
      <c r="I159" s="13"/>
      <c r="J159" s="13"/>
      <c r="K159" s="8" t="str">
        <f aca="false">IF($G159="","",IF($G159="Alta",3,IF($G159="Media",2,1))*10+COUNTIF($H159:$J159,"Sí"))</f>
        <v/>
      </c>
      <c r="L159" s="8" t="str">
        <f aca="false">IF($K159="","",COUNTIFS($B$5:$B$304,$B159,$K$5:$K$304,"&gt;"&amp;$K159)+1)</f>
        <v/>
      </c>
      <c r="M159" s="8" t="str">
        <f aca="false">IF($L159="","",IF($L159&lt;=25,"Sí","No"))</f>
        <v/>
      </c>
      <c r="N159" s="13"/>
    </row>
    <row r="160" customFormat="false" ht="15" hidden="false" customHeight="false" outlineLevel="0" collapsed="false">
      <c r="A160" s="13"/>
      <c r="B160" s="13"/>
      <c r="C160" s="13"/>
      <c r="D160" s="13"/>
      <c r="E160" s="8" t="str">
        <f aca="false">IF($D160="","",IFERROR(INDEX(Catálogo!$B$2:$B$200,MATCH($D160,Catálogo!$A$2:$A$200,0)),"ID no existe"))</f>
        <v/>
      </c>
      <c r="F160" s="8" t="str">
        <f aca="false">IF($D160="","",IFERROR(INDEX(Catálogo!$C$2:$C$200,MATCH($D160,Catálogo!$A$2:$A$200,0)),""))</f>
        <v/>
      </c>
      <c r="G160" s="8" t="str">
        <f aca="false">IF($D160="","",IFERROR(INDEX(Catálogo!$P$2:$P$200,MATCH($D160,Catálogo!$A$2:$A$200,0)),""))</f>
        <v/>
      </c>
      <c r="H160" s="13"/>
      <c r="I160" s="13"/>
      <c r="J160" s="13"/>
      <c r="K160" s="8" t="str">
        <f aca="false">IF($G160="","",IF($G160="Alta",3,IF($G160="Media",2,1))*10+COUNTIF($H160:$J160,"Sí"))</f>
        <v/>
      </c>
      <c r="L160" s="8" t="str">
        <f aca="false">IF($K160="","",COUNTIFS($B$5:$B$304,$B160,$K$5:$K$304,"&gt;"&amp;$K160)+1)</f>
        <v/>
      </c>
      <c r="M160" s="8" t="str">
        <f aca="false">IF($L160="","",IF($L160&lt;=25,"Sí","No"))</f>
        <v/>
      </c>
      <c r="N160" s="13"/>
    </row>
    <row r="161" customFormat="false" ht="15" hidden="false" customHeight="false" outlineLevel="0" collapsed="false">
      <c r="A161" s="13"/>
      <c r="B161" s="13"/>
      <c r="C161" s="13"/>
      <c r="D161" s="13"/>
      <c r="E161" s="8" t="str">
        <f aca="false">IF($D161="","",IFERROR(INDEX(Catálogo!$B$2:$B$200,MATCH($D161,Catálogo!$A$2:$A$200,0)),"ID no existe"))</f>
        <v/>
      </c>
      <c r="F161" s="8" t="str">
        <f aca="false">IF($D161="","",IFERROR(INDEX(Catálogo!$C$2:$C$200,MATCH($D161,Catálogo!$A$2:$A$200,0)),""))</f>
        <v/>
      </c>
      <c r="G161" s="8" t="str">
        <f aca="false">IF($D161="","",IFERROR(INDEX(Catálogo!$P$2:$P$200,MATCH($D161,Catálogo!$A$2:$A$200,0)),""))</f>
        <v/>
      </c>
      <c r="H161" s="13"/>
      <c r="I161" s="13"/>
      <c r="J161" s="13"/>
      <c r="K161" s="8" t="str">
        <f aca="false">IF($G161="","",IF($G161="Alta",3,IF($G161="Media",2,1))*10+COUNTIF($H161:$J161,"Sí"))</f>
        <v/>
      </c>
      <c r="L161" s="8" t="str">
        <f aca="false">IF($K161="","",COUNTIFS($B$5:$B$304,$B161,$K$5:$K$304,"&gt;"&amp;$K161)+1)</f>
        <v/>
      </c>
      <c r="M161" s="8" t="str">
        <f aca="false">IF($L161="","",IF($L161&lt;=25,"Sí","No"))</f>
        <v/>
      </c>
      <c r="N161" s="13"/>
    </row>
    <row r="162" customFormat="false" ht="15" hidden="false" customHeight="false" outlineLevel="0" collapsed="false">
      <c r="A162" s="13"/>
      <c r="B162" s="13"/>
      <c r="C162" s="13"/>
      <c r="D162" s="13"/>
      <c r="E162" s="8" t="str">
        <f aca="false">IF($D162="","",IFERROR(INDEX(Catálogo!$B$2:$B$200,MATCH($D162,Catálogo!$A$2:$A$200,0)),"ID no existe"))</f>
        <v/>
      </c>
      <c r="F162" s="8" t="str">
        <f aca="false">IF($D162="","",IFERROR(INDEX(Catálogo!$C$2:$C$200,MATCH($D162,Catálogo!$A$2:$A$200,0)),""))</f>
        <v/>
      </c>
      <c r="G162" s="8" t="str">
        <f aca="false">IF($D162="","",IFERROR(INDEX(Catálogo!$P$2:$P$200,MATCH($D162,Catálogo!$A$2:$A$200,0)),""))</f>
        <v/>
      </c>
      <c r="H162" s="13"/>
      <c r="I162" s="13"/>
      <c r="J162" s="13"/>
      <c r="K162" s="8" t="str">
        <f aca="false">IF($G162="","",IF($G162="Alta",3,IF($G162="Media",2,1))*10+COUNTIF($H162:$J162,"Sí"))</f>
        <v/>
      </c>
      <c r="L162" s="8" t="str">
        <f aca="false">IF($K162="","",COUNTIFS($B$5:$B$304,$B162,$K$5:$K$304,"&gt;"&amp;$K162)+1)</f>
        <v/>
      </c>
      <c r="M162" s="8" t="str">
        <f aca="false">IF($L162="","",IF($L162&lt;=25,"Sí","No"))</f>
        <v/>
      </c>
      <c r="N162" s="13"/>
    </row>
    <row r="163" customFormat="false" ht="15" hidden="false" customHeight="false" outlineLevel="0" collapsed="false">
      <c r="A163" s="13"/>
      <c r="B163" s="13"/>
      <c r="C163" s="13"/>
      <c r="D163" s="13"/>
      <c r="E163" s="8" t="str">
        <f aca="false">IF($D163="","",IFERROR(INDEX(Catálogo!$B$2:$B$200,MATCH($D163,Catálogo!$A$2:$A$200,0)),"ID no existe"))</f>
        <v/>
      </c>
      <c r="F163" s="8" t="str">
        <f aca="false">IF($D163="","",IFERROR(INDEX(Catálogo!$C$2:$C$200,MATCH($D163,Catálogo!$A$2:$A$200,0)),""))</f>
        <v/>
      </c>
      <c r="G163" s="8" t="str">
        <f aca="false">IF($D163="","",IFERROR(INDEX(Catálogo!$P$2:$P$200,MATCH($D163,Catálogo!$A$2:$A$200,0)),""))</f>
        <v/>
      </c>
      <c r="H163" s="13"/>
      <c r="I163" s="13"/>
      <c r="J163" s="13"/>
      <c r="K163" s="8" t="str">
        <f aca="false">IF($G163="","",IF($G163="Alta",3,IF($G163="Media",2,1))*10+COUNTIF($H163:$J163,"Sí"))</f>
        <v/>
      </c>
      <c r="L163" s="8" t="str">
        <f aca="false">IF($K163="","",COUNTIFS($B$5:$B$304,$B163,$K$5:$K$304,"&gt;"&amp;$K163)+1)</f>
        <v/>
      </c>
      <c r="M163" s="8" t="str">
        <f aca="false">IF($L163="","",IF($L163&lt;=25,"Sí","No"))</f>
        <v/>
      </c>
      <c r="N163" s="13"/>
    </row>
    <row r="164" customFormat="false" ht="15" hidden="false" customHeight="false" outlineLevel="0" collapsed="false">
      <c r="A164" s="13"/>
      <c r="B164" s="13"/>
      <c r="C164" s="13"/>
      <c r="D164" s="13"/>
      <c r="E164" s="8" t="str">
        <f aca="false">IF($D164="","",IFERROR(INDEX(Catálogo!$B$2:$B$200,MATCH($D164,Catálogo!$A$2:$A$200,0)),"ID no existe"))</f>
        <v/>
      </c>
      <c r="F164" s="8" t="str">
        <f aca="false">IF($D164="","",IFERROR(INDEX(Catálogo!$C$2:$C$200,MATCH($D164,Catálogo!$A$2:$A$200,0)),""))</f>
        <v/>
      </c>
      <c r="G164" s="8" t="str">
        <f aca="false">IF($D164="","",IFERROR(INDEX(Catálogo!$P$2:$P$200,MATCH($D164,Catálogo!$A$2:$A$200,0)),""))</f>
        <v/>
      </c>
      <c r="H164" s="13"/>
      <c r="I164" s="13"/>
      <c r="J164" s="13"/>
      <c r="K164" s="8" t="str">
        <f aca="false">IF($G164="","",IF($G164="Alta",3,IF($G164="Media",2,1))*10+COUNTIF($H164:$J164,"Sí"))</f>
        <v/>
      </c>
      <c r="L164" s="8" t="str">
        <f aca="false">IF($K164="","",COUNTIFS($B$5:$B$304,$B164,$K$5:$K$304,"&gt;"&amp;$K164)+1)</f>
        <v/>
      </c>
      <c r="M164" s="8" t="str">
        <f aca="false">IF($L164="","",IF($L164&lt;=25,"Sí","No"))</f>
        <v/>
      </c>
      <c r="N164" s="13"/>
    </row>
    <row r="165" customFormat="false" ht="15" hidden="false" customHeight="false" outlineLevel="0" collapsed="false">
      <c r="A165" s="13"/>
      <c r="B165" s="13"/>
      <c r="C165" s="13"/>
      <c r="D165" s="13"/>
      <c r="E165" s="8" t="str">
        <f aca="false">IF($D165="","",IFERROR(INDEX(Catálogo!$B$2:$B$200,MATCH($D165,Catálogo!$A$2:$A$200,0)),"ID no existe"))</f>
        <v/>
      </c>
      <c r="F165" s="8" t="str">
        <f aca="false">IF($D165="","",IFERROR(INDEX(Catálogo!$C$2:$C$200,MATCH($D165,Catálogo!$A$2:$A$200,0)),""))</f>
        <v/>
      </c>
      <c r="G165" s="8" t="str">
        <f aca="false">IF($D165="","",IFERROR(INDEX(Catálogo!$P$2:$P$200,MATCH($D165,Catálogo!$A$2:$A$200,0)),""))</f>
        <v/>
      </c>
      <c r="H165" s="13"/>
      <c r="I165" s="13"/>
      <c r="J165" s="13"/>
      <c r="K165" s="8" t="str">
        <f aca="false">IF($G165="","",IF($G165="Alta",3,IF($G165="Media",2,1))*10+COUNTIF($H165:$J165,"Sí"))</f>
        <v/>
      </c>
      <c r="L165" s="8" t="str">
        <f aca="false">IF($K165="","",COUNTIFS($B$5:$B$304,$B165,$K$5:$K$304,"&gt;"&amp;$K165)+1)</f>
        <v/>
      </c>
      <c r="M165" s="8" t="str">
        <f aca="false">IF($L165="","",IF($L165&lt;=25,"Sí","No"))</f>
        <v/>
      </c>
      <c r="N165" s="13"/>
    </row>
    <row r="166" customFormat="false" ht="15" hidden="false" customHeight="false" outlineLevel="0" collapsed="false">
      <c r="A166" s="13"/>
      <c r="B166" s="13"/>
      <c r="C166" s="13"/>
      <c r="D166" s="13"/>
      <c r="E166" s="8" t="str">
        <f aca="false">IF($D166="","",IFERROR(INDEX(Catálogo!$B$2:$B$200,MATCH($D166,Catálogo!$A$2:$A$200,0)),"ID no existe"))</f>
        <v/>
      </c>
      <c r="F166" s="8" t="str">
        <f aca="false">IF($D166="","",IFERROR(INDEX(Catálogo!$C$2:$C$200,MATCH($D166,Catálogo!$A$2:$A$200,0)),""))</f>
        <v/>
      </c>
      <c r="G166" s="8" t="str">
        <f aca="false">IF($D166="","",IFERROR(INDEX(Catálogo!$P$2:$P$200,MATCH($D166,Catálogo!$A$2:$A$200,0)),""))</f>
        <v/>
      </c>
      <c r="H166" s="13"/>
      <c r="I166" s="13"/>
      <c r="J166" s="13"/>
      <c r="K166" s="8" t="str">
        <f aca="false">IF($G166="","",IF($G166="Alta",3,IF($G166="Media",2,1))*10+COUNTIF($H166:$J166,"Sí"))</f>
        <v/>
      </c>
      <c r="L166" s="8" t="str">
        <f aca="false">IF($K166="","",COUNTIFS($B$5:$B$304,$B166,$K$5:$K$304,"&gt;"&amp;$K166)+1)</f>
        <v/>
      </c>
      <c r="M166" s="8" t="str">
        <f aca="false">IF($L166="","",IF($L166&lt;=25,"Sí","No"))</f>
        <v/>
      </c>
      <c r="N166" s="13"/>
    </row>
    <row r="167" customFormat="false" ht="15" hidden="false" customHeight="false" outlineLevel="0" collapsed="false">
      <c r="A167" s="13"/>
      <c r="B167" s="13"/>
      <c r="C167" s="13"/>
      <c r="D167" s="13"/>
      <c r="E167" s="8" t="str">
        <f aca="false">IF($D167="","",IFERROR(INDEX(Catálogo!$B$2:$B$200,MATCH($D167,Catálogo!$A$2:$A$200,0)),"ID no existe"))</f>
        <v/>
      </c>
      <c r="F167" s="8" t="str">
        <f aca="false">IF($D167="","",IFERROR(INDEX(Catálogo!$C$2:$C$200,MATCH($D167,Catálogo!$A$2:$A$200,0)),""))</f>
        <v/>
      </c>
      <c r="G167" s="8" t="str">
        <f aca="false">IF($D167="","",IFERROR(INDEX(Catálogo!$P$2:$P$200,MATCH($D167,Catálogo!$A$2:$A$200,0)),""))</f>
        <v/>
      </c>
      <c r="H167" s="13"/>
      <c r="I167" s="13"/>
      <c r="J167" s="13"/>
      <c r="K167" s="8" t="str">
        <f aca="false">IF($G167="","",IF($G167="Alta",3,IF($G167="Media",2,1))*10+COUNTIF($H167:$J167,"Sí"))</f>
        <v/>
      </c>
      <c r="L167" s="8" t="str">
        <f aca="false">IF($K167="","",COUNTIFS($B$5:$B$304,$B167,$K$5:$K$304,"&gt;"&amp;$K167)+1)</f>
        <v/>
      </c>
      <c r="M167" s="8" t="str">
        <f aca="false">IF($L167="","",IF($L167&lt;=25,"Sí","No"))</f>
        <v/>
      </c>
      <c r="N167" s="13"/>
    </row>
    <row r="168" customFormat="false" ht="15" hidden="false" customHeight="false" outlineLevel="0" collapsed="false">
      <c r="A168" s="13"/>
      <c r="B168" s="13"/>
      <c r="C168" s="13"/>
      <c r="D168" s="13"/>
      <c r="E168" s="8" t="str">
        <f aca="false">IF($D168="","",IFERROR(INDEX(Catálogo!$B$2:$B$200,MATCH($D168,Catálogo!$A$2:$A$200,0)),"ID no existe"))</f>
        <v/>
      </c>
      <c r="F168" s="8" t="str">
        <f aca="false">IF($D168="","",IFERROR(INDEX(Catálogo!$C$2:$C$200,MATCH($D168,Catálogo!$A$2:$A$200,0)),""))</f>
        <v/>
      </c>
      <c r="G168" s="8" t="str">
        <f aca="false">IF($D168="","",IFERROR(INDEX(Catálogo!$P$2:$P$200,MATCH($D168,Catálogo!$A$2:$A$200,0)),""))</f>
        <v/>
      </c>
      <c r="H168" s="13"/>
      <c r="I168" s="13"/>
      <c r="J168" s="13"/>
      <c r="K168" s="8" t="str">
        <f aca="false">IF($G168="","",IF($G168="Alta",3,IF($G168="Media",2,1))*10+COUNTIF($H168:$J168,"Sí"))</f>
        <v/>
      </c>
      <c r="L168" s="8" t="str">
        <f aca="false">IF($K168="","",COUNTIFS($B$5:$B$304,$B168,$K$5:$K$304,"&gt;"&amp;$K168)+1)</f>
        <v/>
      </c>
      <c r="M168" s="8" t="str">
        <f aca="false">IF($L168="","",IF($L168&lt;=25,"Sí","No"))</f>
        <v/>
      </c>
      <c r="N168" s="13"/>
    </row>
    <row r="169" customFormat="false" ht="15" hidden="false" customHeight="false" outlineLevel="0" collapsed="false">
      <c r="A169" s="13"/>
      <c r="B169" s="13"/>
      <c r="C169" s="13"/>
      <c r="D169" s="13"/>
      <c r="E169" s="8" t="str">
        <f aca="false">IF($D169="","",IFERROR(INDEX(Catálogo!$B$2:$B$200,MATCH($D169,Catálogo!$A$2:$A$200,0)),"ID no existe"))</f>
        <v/>
      </c>
      <c r="F169" s="8" t="str">
        <f aca="false">IF($D169="","",IFERROR(INDEX(Catálogo!$C$2:$C$200,MATCH($D169,Catálogo!$A$2:$A$200,0)),""))</f>
        <v/>
      </c>
      <c r="G169" s="8" t="str">
        <f aca="false">IF($D169="","",IFERROR(INDEX(Catálogo!$P$2:$P$200,MATCH($D169,Catálogo!$A$2:$A$200,0)),""))</f>
        <v/>
      </c>
      <c r="H169" s="13"/>
      <c r="I169" s="13"/>
      <c r="J169" s="13"/>
      <c r="K169" s="8" t="str">
        <f aca="false">IF($G169="","",IF($G169="Alta",3,IF($G169="Media",2,1))*10+COUNTIF($H169:$J169,"Sí"))</f>
        <v/>
      </c>
      <c r="L169" s="8" t="str">
        <f aca="false">IF($K169="","",COUNTIFS($B$5:$B$304,$B169,$K$5:$K$304,"&gt;"&amp;$K169)+1)</f>
        <v/>
      </c>
      <c r="M169" s="8" t="str">
        <f aca="false">IF($L169="","",IF($L169&lt;=25,"Sí","No"))</f>
        <v/>
      </c>
      <c r="N169" s="13"/>
    </row>
    <row r="170" customFormat="false" ht="15" hidden="false" customHeight="false" outlineLevel="0" collapsed="false">
      <c r="A170" s="13"/>
      <c r="B170" s="13"/>
      <c r="C170" s="13"/>
      <c r="D170" s="13"/>
      <c r="E170" s="8" t="str">
        <f aca="false">IF($D170="","",IFERROR(INDEX(Catálogo!$B$2:$B$200,MATCH($D170,Catálogo!$A$2:$A$200,0)),"ID no existe"))</f>
        <v/>
      </c>
      <c r="F170" s="8" t="str">
        <f aca="false">IF($D170="","",IFERROR(INDEX(Catálogo!$C$2:$C$200,MATCH($D170,Catálogo!$A$2:$A$200,0)),""))</f>
        <v/>
      </c>
      <c r="G170" s="8" t="str">
        <f aca="false">IF($D170="","",IFERROR(INDEX(Catálogo!$P$2:$P$200,MATCH($D170,Catálogo!$A$2:$A$200,0)),""))</f>
        <v/>
      </c>
      <c r="H170" s="13"/>
      <c r="I170" s="13"/>
      <c r="J170" s="13"/>
      <c r="K170" s="8" t="str">
        <f aca="false">IF($G170="","",IF($G170="Alta",3,IF($G170="Media",2,1))*10+COUNTIF($H170:$J170,"Sí"))</f>
        <v/>
      </c>
      <c r="L170" s="8" t="str">
        <f aca="false">IF($K170="","",COUNTIFS($B$5:$B$304,$B170,$K$5:$K$304,"&gt;"&amp;$K170)+1)</f>
        <v/>
      </c>
      <c r="M170" s="8" t="str">
        <f aca="false">IF($L170="","",IF($L170&lt;=25,"Sí","No"))</f>
        <v/>
      </c>
      <c r="N170" s="13"/>
    </row>
    <row r="171" customFormat="false" ht="15" hidden="false" customHeight="false" outlineLevel="0" collapsed="false">
      <c r="A171" s="13"/>
      <c r="B171" s="13"/>
      <c r="C171" s="13"/>
      <c r="D171" s="13"/>
      <c r="E171" s="8" t="str">
        <f aca="false">IF($D171="","",IFERROR(INDEX(Catálogo!$B$2:$B$200,MATCH($D171,Catálogo!$A$2:$A$200,0)),"ID no existe"))</f>
        <v/>
      </c>
      <c r="F171" s="8" t="str">
        <f aca="false">IF($D171="","",IFERROR(INDEX(Catálogo!$C$2:$C$200,MATCH($D171,Catálogo!$A$2:$A$200,0)),""))</f>
        <v/>
      </c>
      <c r="G171" s="8" t="str">
        <f aca="false">IF($D171="","",IFERROR(INDEX(Catálogo!$P$2:$P$200,MATCH($D171,Catálogo!$A$2:$A$200,0)),""))</f>
        <v/>
      </c>
      <c r="H171" s="13"/>
      <c r="I171" s="13"/>
      <c r="J171" s="13"/>
      <c r="K171" s="8" t="str">
        <f aca="false">IF($G171="","",IF($G171="Alta",3,IF($G171="Media",2,1))*10+COUNTIF($H171:$J171,"Sí"))</f>
        <v/>
      </c>
      <c r="L171" s="8" t="str">
        <f aca="false">IF($K171="","",COUNTIFS($B$5:$B$304,$B171,$K$5:$K$304,"&gt;"&amp;$K171)+1)</f>
        <v/>
      </c>
      <c r="M171" s="8" t="str">
        <f aca="false">IF($L171="","",IF($L171&lt;=25,"Sí","No"))</f>
        <v/>
      </c>
      <c r="N171" s="13"/>
    </row>
    <row r="172" customFormat="false" ht="15" hidden="false" customHeight="false" outlineLevel="0" collapsed="false">
      <c r="A172" s="13"/>
      <c r="B172" s="13"/>
      <c r="C172" s="13"/>
      <c r="D172" s="13"/>
      <c r="E172" s="8" t="str">
        <f aca="false">IF($D172="","",IFERROR(INDEX(Catálogo!$B$2:$B$200,MATCH($D172,Catálogo!$A$2:$A$200,0)),"ID no existe"))</f>
        <v/>
      </c>
      <c r="F172" s="8" t="str">
        <f aca="false">IF($D172="","",IFERROR(INDEX(Catálogo!$C$2:$C$200,MATCH($D172,Catálogo!$A$2:$A$200,0)),""))</f>
        <v/>
      </c>
      <c r="G172" s="8" t="str">
        <f aca="false">IF($D172="","",IFERROR(INDEX(Catálogo!$P$2:$P$200,MATCH($D172,Catálogo!$A$2:$A$200,0)),""))</f>
        <v/>
      </c>
      <c r="H172" s="13"/>
      <c r="I172" s="13"/>
      <c r="J172" s="13"/>
      <c r="K172" s="8" t="str">
        <f aca="false">IF($G172="","",IF($G172="Alta",3,IF($G172="Media",2,1))*10+COUNTIF($H172:$J172,"Sí"))</f>
        <v/>
      </c>
      <c r="L172" s="8" t="str">
        <f aca="false">IF($K172="","",COUNTIFS($B$5:$B$304,$B172,$K$5:$K$304,"&gt;"&amp;$K172)+1)</f>
        <v/>
      </c>
      <c r="M172" s="8" t="str">
        <f aca="false">IF($L172="","",IF($L172&lt;=25,"Sí","No"))</f>
        <v/>
      </c>
      <c r="N172" s="13"/>
    </row>
    <row r="173" customFormat="false" ht="15" hidden="false" customHeight="false" outlineLevel="0" collapsed="false">
      <c r="A173" s="13"/>
      <c r="B173" s="13"/>
      <c r="C173" s="13"/>
      <c r="D173" s="13"/>
      <c r="E173" s="8" t="str">
        <f aca="false">IF($D173="","",IFERROR(INDEX(Catálogo!$B$2:$B$200,MATCH($D173,Catálogo!$A$2:$A$200,0)),"ID no existe"))</f>
        <v/>
      </c>
      <c r="F173" s="8" t="str">
        <f aca="false">IF($D173="","",IFERROR(INDEX(Catálogo!$C$2:$C$200,MATCH($D173,Catálogo!$A$2:$A$200,0)),""))</f>
        <v/>
      </c>
      <c r="G173" s="8" t="str">
        <f aca="false">IF($D173="","",IFERROR(INDEX(Catálogo!$P$2:$P$200,MATCH($D173,Catálogo!$A$2:$A$200,0)),""))</f>
        <v/>
      </c>
      <c r="H173" s="13"/>
      <c r="I173" s="13"/>
      <c r="J173" s="13"/>
      <c r="K173" s="8" t="str">
        <f aca="false">IF($G173="","",IF($G173="Alta",3,IF($G173="Media",2,1))*10+COUNTIF($H173:$J173,"Sí"))</f>
        <v/>
      </c>
      <c r="L173" s="8" t="str">
        <f aca="false">IF($K173="","",COUNTIFS($B$5:$B$304,$B173,$K$5:$K$304,"&gt;"&amp;$K173)+1)</f>
        <v/>
      </c>
      <c r="M173" s="8" t="str">
        <f aca="false">IF($L173="","",IF($L173&lt;=25,"Sí","No"))</f>
        <v/>
      </c>
      <c r="N173" s="13"/>
    </row>
    <row r="174" customFormat="false" ht="15" hidden="false" customHeight="false" outlineLevel="0" collapsed="false">
      <c r="A174" s="13"/>
      <c r="B174" s="13"/>
      <c r="C174" s="13"/>
      <c r="D174" s="13"/>
      <c r="E174" s="8" t="str">
        <f aca="false">IF($D174="","",IFERROR(INDEX(Catálogo!$B$2:$B$200,MATCH($D174,Catálogo!$A$2:$A$200,0)),"ID no existe"))</f>
        <v/>
      </c>
      <c r="F174" s="8" t="str">
        <f aca="false">IF($D174="","",IFERROR(INDEX(Catálogo!$C$2:$C$200,MATCH($D174,Catálogo!$A$2:$A$200,0)),""))</f>
        <v/>
      </c>
      <c r="G174" s="8" t="str">
        <f aca="false">IF($D174="","",IFERROR(INDEX(Catálogo!$P$2:$P$200,MATCH($D174,Catálogo!$A$2:$A$200,0)),""))</f>
        <v/>
      </c>
      <c r="H174" s="13"/>
      <c r="I174" s="13"/>
      <c r="J174" s="13"/>
      <c r="K174" s="8" t="str">
        <f aca="false">IF($G174="","",IF($G174="Alta",3,IF($G174="Media",2,1))*10+COUNTIF($H174:$J174,"Sí"))</f>
        <v/>
      </c>
      <c r="L174" s="8" t="str">
        <f aca="false">IF($K174="","",COUNTIFS($B$5:$B$304,$B174,$K$5:$K$304,"&gt;"&amp;$K174)+1)</f>
        <v/>
      </c>
      <c r="M174" s="8" t="str">
        <f aca="false">IF($L174="","",IF($L174&lt;=25,"Sí","No"))</f>
        <v/>
      </c>
      <c r="N174" s="13"/>
    </row>
    <row r="175" customFormat="false" ht="15" hidden="false" customHeight="false" outlineLevel="0" collapsed="false">
      <c r="A175" s="13"/>
      <c r="B175" s="13"/>
      <c r="C175" s="13"/>
      <c r="D175" s="13"/>
      <c r="E175" s="8" t="str">
        <f aca="false">IF($D175="","",IFERROR(INDEX(Catálogo!$B$2:$B$200,MATCH($D175,Catálogo!$A$2:$A$200,0)),"ID no existe"))</f>
        <v/>
      </c>
      <c r="F175" s="8" t="str">
        <f aca="false">IF($D175="","",IFERROR(INDEX(Catálogo!$C$2:$C$200,MATCH($D175,Catálogo!$A$2:$A$200,0)),""))</f>
        <v/>
      </c>
      <c r="G175" s="8" t="str">
        <f aca="false">IF($D175="","",IFERROR(INDEX(Catálogo!$P$2:$P$200,MATCH($D175,Catálogo!$A$2:$A$200,0)),""))</f>
        <v/>
      </c>
      <c r="H175" s="13"/>
      <c r="I175" s="13"/>
      <c r="J175" s="13"/>
      <c r="K175" s="8" t="str">
        <f aca="false">IF($G175="","",IF($G175="Alta",3,IF($G175="Media",2,1))*10+COUNTIF($H175:$J175,"Sí"))</f>
        <v/>
      </c>
      <c r="L175" s="8" t="str">
        <f aca="false">IF($K175="","",COUNTIFS($B$5:$B$304,$B175,$K$5:$K$304,"&gt;"&amp;$K175)+1)</f>
        <v/>
      </c>
      <c r="M175" s="8" t="str">
        <f aca="false">IF($L175="","",IF($L175&lt;=25,"Sí","No"))</f>
        <v/>
      </c>
      <c r="N175" s="13"/>
    </row>
    <row r="176" customFormat="false" ht="15" hidden="false" customHeight="false" outlineLevel="0" collapsed="false">
      <c r="A176" s="13"/>
      <c r="B176" s="13"/>
      <c r="C176" s="13"/>
      <c r="D176" s="13"/>
      <c r="E176" s="8" t="str">
        <f aca="false">IF($D176="","",IFERROR(INDEX(Catálogo!$B$2:$B$200,MATCH($D176,Catálogo!$A$2:$A$200,0)),"ID no existe"))</f>
        <v/>
      </c>
      <c r="F176" s="8" t="str">
        <f aca="false">IF($D176="","",IFERROR(INDEX(Catálogo!$C$2:$C$200,MATCH($D176,Catálogo!$A$2:$A$200,0)),""))</f>
        <v/>
      </c>
      <c r="G176" s="8" t="str">
        <f aca="false">IF($D176="","",IFERROR(INDEX(Catálogo!$P$2:$P$200,MATCH($D176,Catálogo!$A$2:$A$200,0)),""))</f>
        <v/>
      </c>
      <c r="H176" s="13"/>
      <c r="I176" s="13"/>
      <c r="J176" s="13"/>
      <c r="K176" s="8" t="str">
        <f aca="false">IF($G176="","",IF($G176="Alta",3,IF($G176="Media",2,1))*10+COUNTIF($H176:$J176,"Sí"))</f>
        <v/>
      </c>
      <c r="L176" s="8" t="str">
        <f aca="false">IF($K176="","",COUNTIFS($B$5:$B$304,$B176,$K$5:$K$304,"&gt;"&amp;$K176)+1)</f>
        <v/>
      </c>
      <c r="M176" s="8" t="str">
        <f aca="false">IF($L176="","",IF($L176&lt;=25,"Sí","No"))</f>
        <v/>
      </c>
      <c r="N176" s="13"/>
    </row>
    <row r="177" customFormat="false" ht="15" hidden="false" customHeight="false" outlineLevel="0" collapsed="false">
      <c r="A177" s="13"/>
      <c r="B177" s="13"/>
      <c r="C177" s="13"/>
      <c r="D177" s="13"/>
      <c r="E177" s="8" t="str">
        <f aca="false">IF($D177="","",IFERROR(INDEX(Catálogo!$B$2:$B$200,MATCH($D177,Catálogo!$A$2:$A$200,0)),"ID no existe"))</f>
        <v/>
      </c>
      <c r="F177" s="8" t="str">
        <f aca="false">IF($D177="","",IFERROR(INDEX(Catálogo!$C$2:$C$200,MATCH($D177,Catálogo!$A$2:$A$200,0)),""))</f>
        <v/>
      </c>
      <c r="G177" s="8" t="str">
        <f aca="false">IF($D177="","",IFERROR(INDEX(Catálogo!$P$2:$P$200,MATCH($D177,Catálogo!$A$2:$A$200,0)),""))</f>
        <v/>
      </c>
      <c r="H177" s="13"/>
      <c r="I177" s="13"/>
      <c r="J177" s="13"/>
      <c r="K177" s="8" t="str">
        <f aca="false">IF($G177="","",IF($G177="Alta",3,IF($G177="Media",2,1))*10+COUNTIF($H177:$J177,"Sí"))</f>
        <v/>
      </c>
      <c r="L177" s="8" t="str">
        <f aca="false">IF($K177="","",COUNTIFS($B$5:$B$304,$B177,$K$5:$K$304,"&gt;"&amp;$K177)+1)</f>
        <v/>
      </c>
      <c r="M177" s="8" t="str">
        <f aca="false">IF($L177="","",IF($L177&lt;=25,"Sí","No"))</f>
        <v/>
      </c>
      <c r="N177" s="13"/>
    </row>
    <row r="178" customFormat="false" ht="15" hidden="false" customHeight="false" outlineLevel="0" collapsed="false">
      <c r="A178" s="13"/>
      <c r="B178" s="13"/>
      <c r="C178" s="13"/>
      <c r="D178" s="13"/>
      <c r="E178" s="8" t="str">
        <f aca="false">IF($D178="","",IFERROR(INDEX(Catálogo!$B$2:$B$200,MATCH($D178,Catálogo!$A$2:$A$200,0)),"ID no existe"))</f>
        <v/>
      </c>
      <c r="F178" s="8" t="str">
        <f aca="false">IF($D178="","",IFERROR(INDEX(Catálogo!$C$2:$C$200,MATCH($D178,Catálogo!$A$2:$A$200,0)),""))</f>
        <v/>
      </c>
      <c r="G178" s="8" t="str">
        <f aca="false">IF($D178="","",IFERROR(INDEX(Catálogo!$P$2:$P$200,MATCH($D178,Catálogo!$A$2:$A$200,0)),""))</f>
        <v/>
      </c>
      <c r="H178" s="13"/>
      <c r="I178" s="13"/>
      <c r="J178" s="13"/>
      <c r="K178" s="8" t="str">
        <f aca="false">IF($G178="","",IF($G178="Alta",3,IF($G178="Media",2,1))*10+COUNTIF($H178:$J178,"Sí"))</f>
        <v/>
      </c>
      <c r="L178" s="8" t="str">
        <f aca="false">IF($K178="","",COUNTIFS($B$5:$B$304,$B178,$K$5:$K$304,"&gt;"&amp;$K178)+1)</f>
        <v/>
      </c>
      <c r="M178" s="8" t="str">
        <f aca="false">IF($L178="","",IF($L178&lt;=25,"Sí","No"))</f>
        <v/>
      </c>
      <c r="N178" s="13"/>
    </row>
    <row r="179" customFormat="false" ht="15" hidden="false" customHeight="false" outlineLevel="0" collapsed="false">
      <c r="A179" s="13"/>
      <c r="B179" s="13"/>
      <c r="C179" s="13"/>
      <c r="D179" s="13"/>
      <c r="E179" s="8" t="str">
        <f aca="false">IF($D179="","",IFERROR(INDEX(Catálogo!$B$2:$B$200,MATCH($D179,Catálogo!$A$2:$A$200,0)),"ID no existe"))</f>
        <v/>
      </c>
      <c r="F179" s="8" t="str">
        <f aca="false">IF($D179="","",IFERROR(INDEX(Catálogo!$C$2:$C$200,MATCH($D179,Catálogo!$A$2:$A$200,0)),""))</f>
        <v/>
      </c>
      <c r="G179" s="8" t="str">
        <f aca="false">IF($D179="","",IFERROR(INDEX(Catálogo!$P$2:$P$200,MATCH($D179,Catálogo!$A$2:$A$200,0)),""))</f>
        <v/>
      </c>
      <c r="H179" s="13"/>
      <c r="I179" s="13"/>
      <c r="J179" s="13"/>
      <c r="K179" s="8" t="str">
        <f aca="false">IF($G179="","",IF($G179="Alta",3,IF($G179="Media",2,1))*10+COUNTIF($H179:$J179,"Sí"))</f>
        <v/>
      </c>
      <c r="L179" s="8" t="str">
        <f aca="false">IF($K179="","",COUNTIFS($B$5:$B$304,$B179,$K$5:$K$304,"&gt;"&amp;$K179)+1)</f>
        <v/>
      </c>
      <c r="M179" s="8" t="str">
        <f aca="false">IF($L179="","",IF($L179&lt;=25,"Sí","No"))</f>
        <v/>
      </c>
      <c r="N179" s="13"/>
    </row>
    <row r="180" customFormat="false" ht="15" hidden="false" customHeight="false" outlineLevel="0" collapsed="false">
      <c r="A180" s="13"/>
      <c r="B180" s="13"/>
      <c r="C180" s="13"/>
      <c r="D180" s="13"/>
      <c r="E180" s="8" t="str">
        <f aca="false">IF($D180="","",IFERROR(INDEX(Catálogo!$B$2:$B$200,MATCH($D180,Catálogo!$A$2:$A$200,0)),"ID no existe"))</f>
        <v/>
      </c>
      <c r="F180" s="8" t="str">
        <f aca="false">IF($D180="","",IFERROR(INDEX(Catálogo!$C$2:$C$200,MATCH($D180,Catálogo!$A$2:$A$200,0)),""))</f>
        <v/>
      </c>
      <c r="G180" s="8" t="str">
        <f aca="false">IF($D180="","",IFERROR(INDEX(Catálogo!$P$2:$P$200,MATCH($D180,Catálogo!$A$2:$A$200,0)),""))</f>
        <v/>
      </c>
      <c r="H180" s="13"/>
      <c r="I180" s="13"/>
      <c r="J180" s="13"/>
      <c r="K180" s="8" t="str">
        <f aca="false">IF($G180="","",IF($G180="Alta",3,IF($G180="Media",2,1))*10+COUNTIF($H180:$J180,"Sí"))</f>
        <v/>
      </c>
      <c r="L180" s="8" t="str">
        <f aca="false">IF($K180="","",COUNTIFS($B$5:$B$304,$B180,$K$5:$K$304,"&gt;"&amp;$K180)+1)</f>
        <v/>
      </c>
      <c r="M180" s="8" t="str">
        <f aca="false">IF($L180="","",IF($L180&lt;=25,"Sí","No"))</f>
        <v/>
      </c>
      <c r="N180" s="13"/>
    </row>
    <row r="181" customFormat="false" ht="15" hidden="false" customHeight="false" outlineLevel="0" collapsed="false">
      <c r="A181" s="13"/>
      <c r="B181" s="13"/>
      <c r="C181" s="13"/>
      <c r="D181" s="13"/>
      <c r="E181" s="8" t="str">
        <f aca="false">IF($D181="","",IFERROR(INDEX(Catálogo!$B$2:$B$200,MATCH($D181,Catálogo!$A$2:$A$200,0)),"ID no existe"))</f>
        <v/>
      </c>
      <c r="F181" s="8" t="str">
        <f aca="false">IF($D181="","",IFERROR(INDEX(Catálogo!$C$2:$C$200,MATCH($D181,Catálogo!$A$2:$A$200,0)),""))</f>
        <v/>
      </c>
      <c r="G181" s="8" t="str">
        <f aca="false">IF($D181="","",IFERROR(INDEX(Catálogo!$P$2:$P$200,MATCH($D181,Catálogo!$A$2:$A$200,0)),""))</f>
        <v/>
      </c>
      <c r="H181" s="13"/>
      <c r="I181" s="13"/>
      <c r="J181" s="13"/>
      <c r="K181" s="8" t="str">
        <f aca="false">IF($G181="","",IF($G181="Alta",3,IF($G181="Media",2,1))*10+COUNTIF($H181:$J181,"Sí"))</f>
        <v/>
      </c>
      <c r="L181" s="8" t="str">
        <f aca="false">IF($K181="","",COUNTIFS($B$5:$B$304,$B181,$K$5:$K$304,"&gt;"&amp;$K181)+1)</f>
        <v/>
      </c>
      <c r="M181" s="8" t="str">
        <f aca="false">IF($L181="","",IF($L181&lt;=25,"Sí","No"))</f>
        <v/>
      </c>
      <c r="N181" s="13"/>
    </row>
    <row r="182" customFormat="false" ht="15" hidden="false" customHeight="false" outlineLevel="0" collapsed="false">
      <c r="A182" s="13"/>
      <c r="B182" s="13"/>
      <c r="C182" s="13"/>
      <c r="D182" s="13"/>
      <c r="E182" s="8" t="str">
        <f aca="false">IF($D182="","",IFERROR(INDEX(Catálogo!$B$2:$B$200,MATCH($D182,Catálogo!$A$2:$A$200,0)),"ID no existe"))</f>
        <v/>
      </c>
      <c r="F182" s="8" t="str">
        <f aca="false">IF($D182="","",IFERROR(INDEX(Catálogo!$C$2:$C$200,MATCH($D182,Catálogo!$A$2:$A$200,0)),""))</f>
        <v/>
      </c>
      <c r="G182" s="8" t="str">
        <f aca="false">IF($D182="","",IFERROR(INDEX(Catálogo!$P$2:$P$200,MATCH($D182,Catálogo!$A$2:$A$200,0)),""))</f>
        <v/>
      </c>
      <c r="H182" s="13"/>
      <c r="I182" s="13"/>
      <c r="J182" s="13"/>
      <c r="K182" s="8" t="str">
        <f aca="false">IF($G182="","",IF($G182="Alta",3,IF($G182="Media",2,1))*10+COUNTIF($H182:$J182,"Sí"))</f>
        <v/>
      </c>
      <c r="L182" s="8" t="str">
        <f aca="false">IF($K182="","",COUNTIFS($B$5:$B$304,$B182,$K$5:$K$304,"&gt;"&amp;$K182)+1)</f>
        <v/>
      </c>
      <c r="M182" s="8" t="str">
        <f aca="false">IF($L182="","",IF($L182&lt;=25,"Sí","No"))</f>
        <v/>
      </c>
      <c r="N182" s="13"/>
    </row>
    <row r="183" customFormat="false" ht="15" hidden="false" customHeight="false" outlineLevel="0" collapsed="false">
      <c r="A183" s="13"/>
      <c r="B183" s="13"/>
      <c r="C183" s="13"/>
      <c r="D183" s="13"/>
      <c r="E183" s="8" t="str">
        <f aca="false">IF($D183="","",IFERROR(INDEX(Catálogo!$B$2:$B$200,MATCH($D183,Catálogo!$A$2:$A$200,0)),"ID no existe"))</f>
        <v/>
      </c>
      <c r="F183" s="8" t="str">
        <f aca="false">IF($D183="","",IFERROR(INDEX(Catálogo!$C$2:$C$200,MATCH($D183,Catálogo!$A$2:$A$200,0)),""))</f>
        <v/>
      </c>
      <c r="G183" s="8" t="str">
        <f aca="false">IF($D183="","",IFERROR(INDEX(Catálogo!$P$2:$P$200,MATCH($D183,Catálogo!$A$2:$A$200,0)),""))</f>
        <v/>
      </c>
      <c r="H183" s="13"/>
      <c r="I183" s="13"/>
      <c r="J183" s="13"/>
      <c r="K183" s="8" t="str">
        <f aca="false">IF($G183="","",IF($G183="Alta",3,IF($G183="Media",2,1))*10+COUNTIF($H183:$J183,"Sí"))</f>
        <v/>
      </c>
      <c r="L183" s="8" t="str">
        <f aca="false">IF($K183="","",COUNTIFS($B$5:$B$304,$B183,$K$5:$K$304,"&gt;"&amp;$K183)+1)</f>
        <v/>
      </c>
      <c r="M183" s="8" t="str">
        <f aca="false">IF($L183="","",IF($L183&lt;=25,"Sí","No"))</f>
        <v/>
      </c>
      <c r="N183" s="13"/>
    </row>
    <row r="184" customFormat="false" ht="15" hidden="false" customHeight="false" outlineLevel="0" collapsed="false">
      <c r="A184" s="13"/>
      <c r="B184" s="13"/>
      <c r="C184" s="13"/>
      <c r="D184" s="13"/>
      <c r="E184" s="8" t="str">
        <f aca="false">IF($D184="","",IFERROR(INDEX(Catálogo!$B$2:$B$200,MATCH($D184,Catálogo!$A$2:$A$200,0)),"ID no existe"))</f>
        <v/>
      </c>
      <c r="F184" s="8" t="str">
        <f aca="false">IF($D184="","",IFERROR(INDEX(Catálogo!$C$2:$C$200,MATCH($D184,Catálogo!$A$2:$A$200,0)),""))</f>
        <v/>
      </c>
      <c r="G184" s="8" t="str">
        <f aca="false">IF($D184="","",IFERROR(INDEX(Catálogo!$P$2:$P$200,MATCH($D184,Catálogo!$A$2:$A$200,0)),""))</f>
        <v/>
      </c>
      <c r="H184" s="13"/>
      <c r="I184" s="13"/>
      <c r="J184" s="13"/>
      <c r="K184" s="8" t="str">
        <f aca="false">IF($G184="","",IF($G184="Alta",3,IF($G184="Media",2,1))*10+COUNTIF($H184:$J184,"Sí"))</f>
        <v/>
      </c>
      <c r="L184" s="8" t="str">
        <f aca="false">IF($K184="","",COUNTIFS($B$5:$B$304,$B184,$K$5:$K$304,"&gt;"&amp;$K184)+1)</f>
        <v/>
      </c>
      <c r="M184" s="8" t="str">
        <f aca="false">IF($L184="","",IF($L184&lt;=25,"Sí","No"))</f>
        <v/>
      </c>
      <c r="N184" s="13"/>
    </row>
    <row r="185" customFormat="false" ht="15" hidden="false" customHeight="false" outlineLevel="0" collapsed="false">
      <c r="A185" s="13"/>
      <c r="B185" s="13"/>
      <c r="C185" s="13"/>
      <c r="D185" s="13"/>
      <c r="E185" s="8" t="str">
        <f aca="false">IF($D185="","",IFERROR(INDEX(Catálogo!$B$2:$B$200,MATCH($D185,Catálogo!$A$2:$A$200,0)),"ID no existe"))</f>
        <v/>
      </c>
      <c r="F185" s="8" t="str">
        <f aca="false">IF($D185="","",IFERROR(INDEX(Catálogo!$C$2:$C$200,MATCH($D185,Catálogo!$A$2:$A$200,0)),""))</f>
        <v/>
      </c>
      <c r="G185" s="8" t="str">
        <f aca="false">IF($D185="","",IFERROR(INDEX(Catálogo!$P$2:$P$200,MATCH($D185,Catálogo!$A$2:$A$200,0)),""))</f>
        <v/>
      </c>
      <c r="H185" s="13"/>
      <c r="I185" s="13"/>
      <c r="J185" s="13"/>
      <c r="K185" s="8" t="str">
        <f aca="false">IF($G185="","",IF($G185="Alta",3,IF($G185="Media",2,1))*10+COUNTIF($H185:$J185,"Sí"))</f>
        <v/>
      </c>
      <c r="L185" s="8" t="str">
        <f aca="false">IF($K185="","",COUNTIFS($B$5:$B$304,$B185,$K$5:$K$304,"&gt;"&amp;$K185)+1)</f>
        <v/>
      </c>
      <c r="M185" s="8" t="str">
        <f aca="false">IF($L185="","",IF($L185&lt;=25,"Sí","No"))</f>
        <v/>
      </c>
      <c r="N185" s="13"/>
    </row>
    <row r="186" customFormat="false" ht="15" hidden="false" customHeight="false" outlineLevel="0" collapsed="false">
      <c r="A186" s="13"/>
      <c r="B186" s="13"/>
      <c r="C186" s="13"/>
      <c r="D186" s="13"/>
      <c r="E186" s="8" t="str">
        <f aca="false">IF($D186="","",IFERROR(INDEX(Catálogo!$B$2:$B$200,MATCH($D186,Catálogo!$A$2:$A$200,0)),"ID no existe"))</f>
        <v/>
      </c>
      <c r="F186" s="8" t="str">
        <f aca="false">IF($D186="","",IFERROR(INDEX(Catálogo!$C$2:$C$200,MATCH($D186,Catálogo!$A$2:$A$200,0)),""))</f>
        <v/>
      </c>
      <c r="G186" s="8" t="str">
        <f aca="false">IF($D186="","",IFERROR(INDEX(Catálogo!$P$2:$P$200,MATCH($D186,Catálogo!$A$2:$A$200,0)),""))</f>
        <v/>
      </c>
      <c r="H186" s="13"/>
      <c r="I186" s="13"/>
      <c r="J186" s="13"/>
      <c r="K186" s="8" t="str">
        <f aca="false">IF($G186="","",IF($G186="Alta",3,IF($G186="Media",2,1))*10+COUNTIF($H186:$J186,"Sí"))</f>
        <v/>
      </c>
      <c r="L186" s="8" t="str">
        <f aca="false">IF($K186="","",COUNTIFS($B$5:$B$304,$B186,$K$5:$K$304,"&gt;"&amp;$K186)+1)</f>
        <v/>
      </c>
      <c r="M186" s="8" t="str">
        <f aca="false">IF($L186="","",IF($L186&lt;=25,"Sí","No"))</f>
        <v/>
      </c>
      <c r="N186" s="13"/>
    </row>
    <row r="187" customFormat="false" ht="15" hidden="false" customHeight="false" outlineLevel="0" collapsed="false">
      <c r="A187" s="13"/>
      <c r="B187" s="13"/>
      <c r="C187" s="13"/>
      <c r="D187" s="13"/>
      <c r="E187" s="8" t="str">
        <f aca="false">IF($D187="","",IFERROR(INDEX(Catálogo!$B$2:$B$200,MATCH($D187,Catálogo!$A$2:$A$200,0)),"ID no existe"))</f>
        <v/>
      </c>
      <c r="F187" s="8" t="str">
        <f aca="false">IF($D187="","",IFERROR(INDEX(Catálogo!$C$2:$C$200,MATCH($D187,Catálogo!$A$2:$A$200,0)),""))</f>
        <v/>
      </c>
      <c r="G187" s="8" t="str">
        <f aca="false">IF($D187="","",IFERROR(INDEX(Catálogo!$P$2:$P$200,MATCH($D187,Catálogo!$A$2:$A$200,0)),""))</f>
        <v/>
      </c>
      <c r="H187" s="13"/>
      <c r="I187" s="13"/>
      <c r="J187" s="13"/>
      <c r="K187" s="8" t="str">
        <f aca="false">IF($G187="","",IF($G187="Alta",3,IF($G187="Media",2,1))*10+COUNTIF($H187:$J187,"Sí"))</f>
        <v/>
      </c>
      <c r="L187" s="8" t="str">
        <f aca="false">IF($K187="","",COUNTIFS($B$5:$B$304,$B187,$K$5:$K$304,"&gt;"&amp;$K187)+1)</f>
        <v/>
      </c>
      <c r="M187" s="8" t="str">
        <f aca="false">IF($L187="","",IF($L187&lt;=25,"Sí","No"))</f>
        <v/>
      </c>
      <c r="N187" s="13"/>
    </row>
    <row r="188" customFormat="false" ht="15" hidden="false" customHeight="false" outlineLevel="0" collapsed="false">
      <c r="A188" s="13"/>
      <c r="B188" s="13"/>
      <c r="C188" s="13"/>
      <c r="D188" s="13"/>
      <c r="E188" s="8" t="str">
        <f aca="false">IF($D188="","",IFERROR(INDEX(Catálogo!$B$2:$B$200,MATCH($D188,Catálogo!$A$2:$A$200,0)),"ID no existe"))</f>
        <v/>
      </c>
      <c r="F188" s="8" t="str">
        <f aca="false">IF($D188="","",IFERROR(INDEX(Catálogo!$C$2:$C$200,MATCH($D188,Catálogo!$A$2:$A$200,0)),""))</f>
        <v/>
      </c>
      <c r="G188" s="8" t="str">
        <f aca="false">IF($D188="","",IFERROR(INDEX(Catálogo!$P$2:$P$200,MATCH($D188,Catálogo!$A$2:$A$200,0)),""))</f>
        <v/>
      </c>
      <c r="H188" s="13"/>
      <c r="I188" s="13"/>
      <c r="J188" s="13"/>
      <c r="K188" s="8" t="str">
        <f aca="false">IF($G188="","",IF($G188="Alta",3,IF($G188="Media",2,1))*10+COUNTIF($H188:$J188,"Sí"))</f>
        <v/>
      </c>
      <c r="L188" s="8" t="str">
        <f aca="false">IF($K188="","",COUNTIFS($B$5:$B$304,$B188,$K$5:$K$304,"&gt;"&amp;$K188)+1)</f>
        <v/>
      </c>
      <c r="M188" s="8" t="str">
        <f aca="false">IF($L188="","",IF($L188&lt;=25,"Sí","No"))</f>
        <v/>
      </c>
      <c r="N188" s="13"/>
    </row>
    <row r="189" customFormat="false" ht="15" hidden="false" customHeight="false" outlineLevel="0" collapsed="false">
      <c r="A189" s="13"/>
      <c r="B189" s="13"/>
      <c r="C189" s="13"/>
      <c r="D189" s="13"/>
      <c r="E189" s="8" t="str">
        <f aca="false">IF($D189="","",IFERROR(INDEX(Catálogo!$B$2:$B$200,MATCH($D189,Catálogo!$A$2:$A$200,0)),"ID no existe"))</f>
        <v/>
      </c>
      <c r="F189" s="8" t="str">
        <f aca="false">IF($D189="","",IFERROR(INDEX(Catálogo!$C$2:$C$200,MATCH($D189,Catálogo!$A$2:$A$200,0)),""))</f>
        <v/>
      </c>
      <c r="G189" s="8" t="str">
        <f aca="false">IF($D189="","",IFERROR(INDEX(Catálogo!$P$2:$P$200,MATCH($D189,Catálogo!$A$2:$A$200,0)),""))</f>
        <v/>
      </c>
      <c r="H189" s="13"/>
      <c r="I189" s="13"/>
      <c r="J189" s="13"/>
      <c r="K189" s="8" t="str">
        <f aca="false">IF($G189="","",IF($G189="Alta",3,IF($G189="Media",2,1))*10+COUNTIF($H189:$J189,"Sí"))</f>
        <v/>
      </c>
      <c r="L189" s="8" t="str">
        <f aca="false">IF($K189="","",COUNTIFS($B$5:$B$304,$B189,$K$5:$K$304,"&gt;"&amp;$K189)+1)</f>
        <v/>
      </c>
      <c r="M189" s="8" t="str">
        <f aca="false">IF($L189="","",IF($L189&lt;=25,"Sí","No"))</f>
        <v/>
      </c>
      <c r="N189" s="13"/>
    </row>
    <row r="190" customFormat="false" ht="15" hidden="false" customHeight="false" outlineLevel="0" collapsed="false">
      <c r="A190" s="13"/>
      <c r="B190" s="13"/>
      <c r="C190" s="13"/>
      <c r="D190" s="13"/>
      <c r="E190" s="8" t="str">
        <f aca="false">IF($D190="","",IFERROR(INDEX(Catálogo!$B$2:$B$200,MATCH($D190,Catálogo!$A$2:$A$200,0)),"ID no existe"))</f>
        <v/>
      </c>
      <c r="F190" s="8" t="str">
        <f aca="false">IF($D190="","",IFERROR(INDEX(Catálogo!$C$2:$C$200,MATCH($D190,Catálogo!$A$2:$A$200,0)),""))</f>
        <v/>
      </c>
      <c r="G190" s="8" t="str">
        <f aca="false">IF($D190="","",IFERROR(INDEX(Catálogo!$P$2:$P$200,MATCH($D190,Catálogo!$A$2:$A$200,0)),""))</f>
        <v/>
      </c>
      <c r="H190" s="13"/>
      <c r="I190" s="13"/>
      <c r="J190" s="13"/>
      <c r="K190" s="8" t="str">
        <f aca="false">IF($G190="","",IF($G190="Alta",3,IF($G190="Media",2,1))*10+COUNTIF($H190:$J190,"Sí"))</f>
        <v/>
      </c>
      <c r="L190" s="8" t="str">
        <f aca="false">IF($K190="","",COUNTIFS($B$5:$B$304,$B190,$K$5:$K$304,"&gt;"&amp;$K190)+1)</f>
        <v/>
      </c>
      <c r="M190" s="8" t="str">
        <f aca="false">IF($L190="","",IF($L190&lt;=25,"Sí","No"))</f>
        <v/>
      </c>
      <c r="N190" s="13"/>
    </row>
    <row r="191" customFormat="false" ht="15" hidden="false" customHeight="false" outlineLevel="0" collapsed="false">
      <c r="A191" s="13"/>
      <c r="B191" s="13"/>
      <c r="C191" s="13"/>
      <c r="D191" s="13"/>
      <c r="E191" s="8" t="str">
        <f aca="false">IF($D191="","",IFERROR(INDEX(Catálogo!$B$2:$B$200,MATCH($D191,Catálogo!$A$2:$A$200,0)),"ID no existe"))</f>
        <v/>
      </c>
      <c r="F191" s="8" t="str">
        <f aca="false">IF($D191="","",IFERROR(INDEX(Catálogo!$C$2:$C$200,MATCH($D191,Catálogo!$A$2:$A$200,0)),""))</f>
        <v/>
      </c>
      <c r="G191" s="8" t="str">
        <f aca="false">IF($D191="","",IFERROR(INDEX(Catálogo!$P$2:$P$200,MATCH($D191,Catálogo!$A$2:$A$200,0)),""))</f>
        <v/>
      </c>
      <c r="H191" s="13"/>
      <c r="I191" s="13"/>
      <c r="J191" s="13"/>
      <c r="K191" s="8" t="str">
        <f aca="false">IF($G191="","",IF($G191="Alta",3,IF($G191="Media",2,1))*10+COUNTIF($H191:$J191,"Sí"))</f>
        <v/>
      </c>
      <c r="L191" s="8" t="str">
        <f aca="false">IF($K191="","",COUNTIFS($B$5:$B$304,$B191,$K$5:$K$304,"&gt;"&amp;$K191)+1)</f>
        <v/>
      </c>
      <c r="M191" s="8" t="str">
        <f aca="false">IF($L191="","",IF($L191&lt;=25,"Sí","No"))</f>
        <v/>
      </c>
      <c r="N191" s="13"/>
    </row>
    <row r="192" customFormat="false" ht="15" hidden="false" customHeight="false" outlineLevel="0" collapsed="false">
      <c r="A192" s="13"/>
      <c r="B192" s="13"/>
      <c r="C192" s="13"/>
      <c r="D192" s="13"/>
      <c r="E192" s="8" t="str">
        <f aca="false">IF($D192="","",IFERROR(INDEX(Catálogo!$B$2:$B$200,MATCH($D192,Catálogo!$A$2:$A$200,0)),"ID no existe"))</f>
        <v/>
      </c>
      <c r="F192" s="8" t="str">
        <f aca="false">IF($D192="","",IFERROR(INDEX(Catálogo!$C$2:$C$200,MATCH($D192,Catálogo!$A$2:$A$200,0)),""))</f>
        <v/>
      </c>
      <c r="G192" s="8" t="str">
        <f aca="false">IF($D192="","",IFERROR(INDEX(Catálogo!$P$2:$P$200,MATCH($D192,Catálogo!$A$2:$A$200,0)),""))</f>
        <v/>
      </c>
      <c r="H192" s="13"/>
      <c r="I192" s="13"/>
      <c r="J192" s="13"/>
      <c r="K192" s="8" t="str">
        <f aca="false">IF($G192="","",IF($G192="Alta",3,IF($G192="Media",2,1))*10+COUNTIF($H192:$J192,"Sí"))</f>
        <v/>
      </c>
      <c r="L192" s="8" t="str">
        <f aca="false">IF($K192="","",COUNTIFS($B$5:$B$304,$B192,$K$5:$K$304,"&gt;"&amp;$K192)+1)</f>
        <v/>
      </c>
      <c r="M192" s="8" t="str">
        <f aca="false">IF($L192="","",IF($L192&lt;=25,"Sí","No"))</f>
        <v/>
      </c>
      <c r="N192" s="13"/>
    </row>
    <row r="193" customFormat="false" ht="15" hidden="false" customHeight="false" outlineLevel="0" collapsed="false">
      <c r="A193" s="13"/>
      <c r="B193" s="13"/>
      <c r="C193" s="13"/>
      <c r="D193" s="13"/>
      <c r="E193" s="8" t="str">
        <f aca="false">IF($D193="","",IFERROR(INDEX(Catálogo!$B$2:$B$200,MATCH($D193,Catálogo!$A$2:$A$200,0)),"ID no existe"))</f>
        <v/>
      </c>
      <c r="F193" s="8" t="str">
        <f aca="false">IF($D193="","",IFERROR(INDEX(Catálogo!$C$2:$C$200,MATCH($D193,Catálogo!$A$2:$A$200,0)),""))</f>
        <v/>
      </c>
      <c r="G193" s="8" t="str">
        <f aca="false">IF($D193="","",IFERROR(INDEX(Catálogo!$P$2:$P$200,MATCH($D193,Catálogo!$A$2:$A$200,0)),""))</f>
        <v/>
      </c>
      <c r="H193" s="13"/>
      <c r="I193" s="13"/>
      <c r="J193" s="13"/>
      <c r="K193" s="8" t="str">
        <f aca="false">IF($G193="","",IF($G193="Alta",3,IF($G193="Media",2,1))*10+COUNTIF($H193:$J193,"Sí"))</f>
        <v/>
      </c>
      <c r="L193" s="8" t="str">
        <f aca="false">IF($K193="","",COUNTIFS($B$5:$B$304,$B193,$K$5:$K$304,"&gt;"&amp;$K193)+1)</f>
        <v/>
      </c>
      <c r="M193" s="8" t="str">
        <f aca="false">IF($L193="","",IF($L193&lt;=25,"Sí","No"))</f>
        <v/>
      </c>
      <c r="N193" s="13"/>
    </row>
    <row r="194" customFormat="false" ht="15" hidden="false" customHeight="false" outlineLevel="0" collapsed="false">
      <c r="A194" s="13"/>
      <c r="B194" s="13"/>
      <c r="C194" s="13"/>
      <c r="D194" s="13"/>
      <c r="E194" s="8" t="str">
        <f aca="false">IF($D194="","",IFERROR(INDEX(Catálogo!$B$2:$B$200,MATCH($D194,Catálogo!$A$2:$A$200,0)),"ID no existe"))</f>
        <v/>
      </c>
      <c r="F194" s="8" t="str">
        <f aca="false">IF($D194="","",IFERROR(INDEX(Catálogo!$C$2:$C$200,MATCH($D194,Catálogo!$A$2:$A$200,0)),""))</f>
        <v/>
      </c>
      <c r="G194" s="8" t="str">
        <f aca="false">IF($D194="","",IFERROR(INDEX(Catálogo!$P$2:$P$200,MATCH($D194,Catálogo!$A$2:$A$200,0)),""))</f>
        <v/>
      </c>
      <c r="H194" s="13"/>
      <c r="I194" s="13"/>
      <c r="J194" s="13"/>
      <c r="K194" s="8" t="str">
        <f aca="false">IF($G194="","",IF($G194="Alta",3,IF($G194="Media",2,1))*10+COUNTIF($H194:$J194,"Sí"))</f>
        <v/>
      </c>
      <c r="L194" s="8" t="str">
        <f aca="false">IF($K194="","",COUNTIFS($B$5:$B$304,$B194,$K$5:$K$304,"&gt;"&amp;$K194)+1)</f>
        <v/>
      </c>
      <c r="M194" s="8" t="str">
        <f aca="false">IF($L194="","",IF($L194&lt;=25,"Sí","No"))</f>
        <v/>
      </c>
      <c r="N194" s="13"/>
    </row>
    <row r="195" customFormat="false" ht="15" hidden="false" customHeight="false" outlineLevel="0" collapsed="false">
      <c r="A195" s="13"/>
      <c r="B195" s="13"/>
      <c r="C195" s="13"/>
      <c r="D195" s="13"/>
      <c r="E195" s="8" t="str">
        <f aca="false">IF($D195="","",IFERROR(INDEX(Catálogo!$B$2:$B$200,MATCH($D195,Catálogo!$A$2:$A$200,0)),"ID no existe"))</f>
        <v/>
      </c>
      <c r="F195" s="8" t="str">
        <f aca="false">IF($D195="","",IFERROR(INDEX(Catálogo!$C$2:$C$200,MATCH($D195,Catálogo!$A$2:$A$200,0)),""))</f>
        <v/>
      </c>
      <c r="G195" s="8" t="str">
        <f aca="false">IF($D195="","",IFERROR(INDEX(Catálogo!$P$2:$P$200,MATCH($D195,Catálogo!$A$2:$A$200,0)),""))</f>
        <v/>
      </c>
      <c r="H195" s="13"/>
      <c r="I195" s="13"/>
      <c r="J195" s="13"/>
      <c r="K195" s="8" t="str">
        <f aca="false">IF($G195="","",IF($G195="Alta",3,IF($G195="Media",2,1))*10+COUNTIF($H195:$J195,"Sí"))</f>
        <v/>
      </c>
      <c r="L195" s="8" t="str">
        <f aca="false">IF($K195="","",COUNTIFS($B$5:$B$304,$B195,$K$5:$K$304,"&gt;"&amp;$K195)+1)</f>
        <v/>
      </c>
      <c r="M195" s="8" t="str">
        <f aca="false">IF($L195="","",IF($L195&lt;=25,"Sí","No"))</f>
        <v/>
      </c>
      <c r="N195" s="13"/>
    </row>
    <row r="196" customFormat="false" ht="15" hidden="false" customHeight="false" outlineLevel="0" collapsed="false">
      <c r="A196" s="13"/>
      <c r="B196" s="13"/>
      <c r="C196" s="13"/>
      <c r="D196" s="13"/>
      <c r="E196" s="8" t="str">
        <f aca="false">IF($D196="","",IFERROR(INDEX(Catálogo!$B$2:$B$200,MATCH($D196,Catálogo!$A$2:$A$200,0)),"ID no existe"))</f>
        <v/>
      </c>
      <c r="F196" s="8" t="str">
        <f aca="false">IF($D196="","",IFERROR(INDEX(Catálogo!$C$2:$C$200,MATCH($D196,Catálogo!$A$2:$A$200,0)),""))</f>
        <v/>
      </c>
      <c r="G196" s="8" t="str">
        <f aca="false">IF($D196="","",IFERROR(INDEX(Catálogo!$P$2:$P$200,MATCH($D196,Catálogo!$A$2:$A$200,0)),""))</f>
        <v/>
      </c>
      <c r="H196" s="13"/>
      <c r="I196" s="13"/>
      <c r="J196" s="13"/>
      <c r="K196" s="8" t="str">
        <f aca="false">IF($G196="","",IF($G196="Alta",3,IF($G196="Media",2,1))*10+COUNTIF($H196:$J196,"Sí"))</f>
        <v/>
      </c>
      <c r="L196" s="8" t="str">
        <f aca="false">IF($K196="","",COUNTIFS($B$5:$B$304,$B196,$K$5:$K$304,"&gt;"&amp;$K196)+1)</f>
        <v/>
      </c>
      <c r="M196" s="8" t="str">
        <f aca="false">IF($L196="","",IF($L196&lt;=25,"Sí","No"))</f>
        <v/>
      </c>
      <c r="N196" s="13"/>
    </row>
    <row r="197" customFormat="false" ht="15" hidden="false" customHeight="false" outlineLevel="0" collapsed="false">
      <c r="A197" s="13"/>
      <c r="B197" s="13"/>
      <c r="C197" s="13"/>
      <c r="D197" s="13"/>
      <c r="E197" s="8" t="str">
        <f aca="false">IF($D197="","",IFERROR(INDEX(Catálogo!$B$2:$B$200,MATCH($D197,Catálogo!$A$2:$A$200,0)),"ID no existe"))</f>
        <v/>
      </c>
      <c r="F197" s="8" t="str">
        <f aca="false">IF($D197="","",IFERROR(INDEX(Catálogo!$C$2:$C$200,MATCH($D197,Catálogo!$A$2:$A$200,0)),""))</f>
        <v/>
      </c>
      <c r="G197" s="8" t="str">
        <f aca="false">IF($D197="","",IFERROR(INDEX(Catálogo!$P$2:$P$200,MATCH($D197,Catálogo!$A$2:$A$200,0)),""))</f>
        <v/>
      </c>
      <c r="H197" s="13"/>
      <c r="I197" s="13"/>
      <c r="J197" s="13"/>
      <c r="K197" s="8" t="str">
        <f aca="false">IF($G197="","",IF($G197="Alta",3,IF($G197="Media",2,1))*10+COUNTIF($H197:$J197,"Sí"))</f>
        <v/>
      </c>
      <c r="L197" s="8" t="str">
        <f aca="false">IF($K197="","",COUNTIFS($B$5:$B$304,$B197,$K$5:$K$304,"&gt;"&amp;$K197)+1)</f>
        <v/>
      </c>
      <c r="M197" s="8" t="str">
        <f aca="false">IF($L197="","",IF($L197&lt;=25,"Sí","No"))</f>
        <v/>
      </c>
      <c r="N197" s="13"/>
    </row>
    <row r="198" customFormat="false" ht="15" hidden="false" customHeight="false" outlineLevel="0" collapsed="false">
      <c r="A198" s="13"/>
      <c r="B198" s="13"/>
      <c r="C198" s="13"/>
      <c r="D198" s="13"/>
      <c r="E198" s="8" t="str">
        <f aca="false">IF($D198="","",IFERROR(INDEX(Catálogo!$B$2:$B$200,MATCH($D198,Catálogo!$A$2:$A$200,0)),"ID no existe"))</f>
        <v/>
      </c>
      <c r="F198" s="8" t="str">
        <f aca="false">IF($D198="","",IFERROR(INDEX(Catálogo!$C$2:$C$200,MATCH($D198,Catálogo!$A$2:$A$200,0)),""))</f>
        <v/>
      </c>
      <c r="G198" s="8" t="str">
        <f aca="false">IF($D198="","",IFERROR(INDEX(Catálogo!$P$2:$P$200,MATCH($D198,Catálogo!$A$2:$A$200,0)),""))</f>
        <v/>
      </c>
      <c r="H198" s="13"/>
      <c r="I198" s="13"/>
      <c r="J198" s="13"/>
      <c r="K198" s="8" t="str">
        <f aca="false">IF($G198="","",IF($G198="Alta",3,IF($G198="Media",2,1))*10+COUNTIF($H198:$J198,"Sí"))</f>
        <v/>
      </c>
      <c r="L198" s="8" t="str">
        <f aca="false">IF($K198="","",COUNTIFS($B$5:$B$304,$B198,$K$5:$K$304,"&gt;"&amp;$K198)+1)</f>
        <v/>
      </c>
      <c r="M198" s="8" t="str">
        <f aca="false">IF($L198="","",IF($L198&lt;=25,"Sí","No"))</f>
        <v/>
      </c>
      <c r="N198" s="13"/>
    </row>
    <row r="199" customFormat="false" ht="15" hidden="false" customHeight="false" outlineLevel="0" collapsed="false">
      <c r="A199" s="13"/>
      <c r="B199" s="13"/>
      <c r="C199" s="13"/>
      <c r="D199" s="13"/>
      <c r="E199" s="8" t="str">
        <f aca="false">IF($D199="","",IFERROR(INDEX(Catálogo!$B$2:$B$200,MATCH($D199,Catálogo!$A$2:$A$200,0)),"ID no existe"))</f>
        <v/>
      </c>
      <c r="F199" s="8" t="str">
        <f aca="false">IF($D199="","",IFERROR(INDEX(Catálogo!$C$2:$C$200,MATCH($D199,Catálogo!$A$2:$A$200,0)),""))</f>
        <v/>
      </c>
      <c r="G199" s="8" t="str">
        <f aca="false">IF($D199="","",IFERROR(INDEX(Catálogo!$P$2:$P$200,MATCH($D199,Catálogo!$A$2:$A$200,0)),""))</f>
        <v/>
      </c>
      <c r="H199" s="13"/>
      <c r="I199" s="13"/>
      <c r="J199" s="13"/>
      <c r="K199" s="8" t="str">
        <f aca="false">IF($G199="","",IF($G199="Alta",3,IF($G199="Media",2,1))*10+COUNTIF($H199:$J199,"Sí"))</f>
        <v/>
      </c>
      <c r="L199" s="8" t="str">
        <f aca="false">IF($K199="","",COUNTIFS($B$5:$B$304,$B199,$K$5:$K$304,"&gt;"&amp;$K199)+1)</f>
        <v/>
      </c>
      <c r="M199" s="8" t="str">
        <f aca="false">IF($L199="","",IF($L199&lt;=25,"Sí","No"))</f>
        <v/>
      </c>
      <c r="N199" s="13"/>
    </row>
    <row r="200" customFormat="false" ht="15" hidden="false" customHeight="false" outlineLevel="0" collapsed="false">
      <c r="A200" s="13"/>
      <c r="B200" s="13"/>
      <c r="C200" s="13"/>
      <c r="D200" s="13"/>
      <c r="E200" s="8" t="str">
        <f aca="false">IF($D200="","",IFERROR(INDEX(Catálogo!$B$2:$B$200,MATCH($D200,Catálogo!$A$2:$A$200,0)),"ID no existe"))</f>
        <v/>
      </c>
      <c r="F200" s="8" t="str">
        <f aca="false">IF($D200="","",IFERROR(INDEX(Catálogo!$C$2:$C$200,MATCH($D200,Catálogo!$A$2:$A$200,0)),""))</f>
        <v/>
      </c>
      <c r="G200" s="8" t="str">
        <f aca="false">IF($D200="","",IFERROR(INDEX(Catálogo!$P$2:$P$200,MATCH($D200,Catálogo!$A$2:$A$200,0)),""))</f>
        <v/>
      </c>
      <c r="H200" s="13"/>
      <c r="I200" s="13"/>
      <c r="J200" s="13"/>
      <c r="K200" s="8" t="str">
        <f aca="false">IF($G200="","",IF($G200="Alta",3,IF($G200="Media",2,1))*10+COUNTIF($H200:$J200,"Sí"))</f>
        <v/>
      </c>
      <c r="L200" s="8" t="str">
        <f aca="false">IF($K200="","",COUNTIFS($B$5:$B$304,$B200,$K$5:$K$304,"&gt;"&amp;$K200)+1)</f>
        <v/>
      </c>
      <c r="M200" s="8" t="str">
        <f aca="false">IF($L200="","",IF($L200&lt;=25,"Sí","No"))</f>
        <v/>
      </c>
      <c r="N200" s="13"/>
    </row>
    <row r="201" customFormat="false" ht="15" hidden="false" customHeight="false" outlineLevel="0" collapsed="false">
      <c r="A201" s="13"/>
      <c r="B201" s="13"/>
      <c r="C201" s="13"/>
      <c r="D201" s="13"/>
      <c r="E201" s="8" t="str">
        <f aca="false">IF($D201="","",IFERROR(INDEX(Catálogo!$B$2:$B$200,MATCH($D201,Catálogo!$A$2:$A$200,0)),"ID no existe"))</f>
        <v/>
      </c>
      <c r="F201" s="8" t="str">
        <f aca="false">IF($D201="","",IFERROR(INDEX(Catálogo!$C$2:$C$200,MATCH($D201,Catálogo!$A$2:$A$200,0)),""))</f>
        <v/>
      </c>
      <c r="G201" s="8" t="str">
        <f aca="false">IF($D201="","",IFERROR(INDEX(Catálogo!$P$2:$P$200,MATCH($D201,Catálogo!$A$2:$A$200,0)),""))</f>
        <v/>
      </c>
      <c r="H201" s="13"/>
      <c r="I201" s="13"/>
      <c r="J201" s="13"/>
      <c r="K201" s="8" t="str">
        <f aca="false">IF($G201="","",IF($G201="Alta",3,IF($G201="Media",2,1))*10+COUNTIF($H201:$J201,"Sí"))</f>
        <v/>
      </c>
      <c r="L201" s="8" t="str">
        <f aca="false">IF($K201="","",COUNTIFS($B$5:$B$304,$B201,$K$5:$K$304,"&gt;"&amp;$K201)+1)</f>
        <v/>
      </c>
      <c r="M201" s="8" t="str">
        <f aca="false">IF($L201="","",IF($L201&lt;=25,"Sí","No"))</f>
        <v/>
      </c>
      <c r="N201" s="13"/>
    </row>
    <row r="202" customFormat="false" ht="15" hidden="false" customHeight="false" outlineLevel="0" collapsed="false">
      <c r="A202" s="13"/>
      <c r="B202" s="13"/>
      <c r="C202" s="13"/>
      <c r="D202" s="13"/>
      <c r="E202" s="8" t="str">
        <f aca="false">IF($D202="","",IFERROR(INDEX(Catálogo!$B$2:$B$200,MATCH($D202,Catálogo!$A$2:$A$200,0)),"ID no existe"))</f>
        <v/>
      </c>
      <c r="F202" s="8" t="str">
        <f aca="false">IF($D202="","",IFERROR(INDEX(Catálogo!$C$2:$C$200,MATCH($D202,Catálogo!$A$2:$A$200,0)),""))</f>
        <v/>
      </c>
      <c r="G202" s="8" t="str">
        <f aca="false">IF($D202="","",IFERROR(INDEX(Catálogo!$P$2:$P$200,MATCH($D202,Catálogo!$A$2:$A$200,0)),""))</f>
        <v/>
      </c>
      <c r="H202" s="13"/>
      <c r="I202" s="13"/>
      <c r="J202" s="13"/>
      <c r="K202" s="8" t="str">
        <f aca="false">IF($G202="","",IF($G202="Alta",3,IF($G202="Media",2,1))*10+COUNTIF($H202:$J202,"Sí"))</f>
        <v/>
      </c>
      <c r="L202" s="8" t="str">
        <f aca="false">IF($K202="","",COUNTIFS($B$5:$B$304,$B202,$K$5:$K$304,"&gt;"&amp;$K202)+1)</f>
        <v/>
      </c>
      <c r="M202" s="8" t="str">
        <f aca="false">IF($L202="","",IF($L202&lt;=25,"Sí","No"))</f>
        <v/>
      </c>
      <c r="N202" s="13"/>
    </row>
    <row r="203" customFormat="false" ht="15" hidden="false" customHeight="false" outlineLevel="0" collapsed="false">
      <c r="A203" s="13"/>
      <c r="B203" s="13"/>
      <c r="C203" s="13"/>
      <c r="D203" s="13"/>
      <c r="E203" s="8" t="str">
        <f aca="false">IF($D203="","",IFERROR(INDEX(Catálogo!$B$2:$B$200,MATCH($D203,Catálogo!$A$2:$A$200,0)),"ID no existe"))</f>
        <v/>
      </c>
      <c r="F203" s="8" t="str">
        <f aca="false">IF($D203="","",IFERROR(INDEX(Catálogo!$C$2:$C$200,MATCH($D203,Catálogo!$A$2:$A$200,0)),""))</f>
        <v/>
      </c>
      <c r="G203" s="8" t="str">
        <f aca="false">IF($D203="","",IFERROR(INDEX(Catálogo!$P$2:$P$200,MATCH($D203,Catálogo!$A$2:$A$200,0)),""))</f>
        <v/>
      </c>
      <c r="H203" s="13"/>
      <c r="I203" s="13"/>
      <c r="J203" s="13"/>
      <c r="K203" s="8" t="str">
        <f aca="false">IF($G203="","",IF($G203="Alta",3,IF($G203="Media",2,1))*10+COUNTIF($H203:$J203,"Sí"))</f>
        <v/>
      </c>
      <c r="L203" s="8" t="str">
        <f aca="false">IF($K203="","",COUNTIFS($B$5:$B$304,$B203,$K$5:$K$304,"&gt;"&amp;$K203)+1)</f>
        <v/>
      </c>
      <c r="M203" s="8" t="str">
        <f aca="false">IF($L203="","",IF($L203&lt;=25,"Sí","No"))</f>
        <v/>
      </c>
      <c r="N203" s="13"/>
    </row>
    <row r="204" customFormat="false" ht="15" hidden="false" customHeight="false" outlineLevel="0" collapsed="false">
      <c r="A204" s="13"/>
      <c r="B204" s="13"/>
      <c r="C204" s="13"/>
      <c r="D204" s="13"/>
      <c r="E204" s="8" t="str">
        <f aca="false">IF($D204="","",IFERROR(INDEX(Catálogo!$B$2:$B$200,MATCH($D204,Catálogo!$A$2:$A$200,0)),"ID no existe"))</f>
        <v/>
      </c>
      <c r="F204" s="8" t="str">
        <f aca="false">IF($D204="","",IFERROR(INDEX(Catálogo!$C$2:$C$200,MATCH($D204,Catálogo!$A$2:$A$200,0)),""))</f>
        <v/>
      </c>
      <c r="G204" s="8" t="str">
        <f aca="false">IF($D204="","",IFERROR(INDEX(Catálogo!$P$2:$P$200,MATCH($D204,Catálogo!$A$2:$A$200,0)),""))</f>
        <v/>
      </c>
      <c r="H204" s="13"/>
      <c r="I204" s="13"/>
      <c r="J204" s="13"/>
      <c r="K204" s="8" t="str">
        <f aca="false">IF($G204="","",IF($G204="Alta",3,IF($G204="Media",2,1))*10+COUNTIF($H204:$J204,"Sí"))</f>
        <v/>
      </c>
      <c r="L204" s="8" t="str">
        <f aca="false">IF($K204="","",COUNTIFS($B$5:$B$304,$B204,$K$5:$K$304,"&gt;"&amp;$K204)+1)</f>
        <v/>
      </c>
      <c r="M204" s="8" t="str">
        <f aca="false">IF($L204="","",IF($L204&lt;=25,"Sí","No"))</f>
        <v/>
      </c>
      <c r="N204" s="13"/>
    </row>
    <row r="205" customFormat="false" ht="15" hidden="false" customHeight="false" outlineLevel="0" collapsed="false">
      <c r="A205" s="13"/>
      <c r="B205" s="13"/>
      <c r="C205" s="13"/>
      <c r="D205" s="13"/>
      <c r="E205" s="8" t="str">
        <f aca="false">IF($D205="","",IFERROR(INDEX(Catálogo!$B$2:$B$200,MATCH($D205,Catálogo!$A$2:$A$200,0)),"ID no existe"))</f>
        <v/>
      </c>
      <c r="F205" s="8" t="str">
        <f aca="false">IF($D205="","",IFERROR(INDEX(Catálogo!$C$2:$C$200,MATCH($D205,Catálogo!$A$2:$A$200,0)),""))</f>
        <v/>
      </c>
      <c r="G205" s="8" t="str">
        <f aca="false">IF($D205="","",IFERROR(INDEX(Catálogo!$P$2:$P$200,MATCH($D205,Catálogo!$A$2:$A$200,0)),""))</f>
        <v/>
      </c>
      <c r="H205" s="13"/>
      <c r="I205" s="13"/>
      <c r="J205" s="13"/>
      <c r="K205" s="8" t="str">
        <f aca="false">IF($G205="","",IF($G205="Alta",3,IF($G205="Media",2,1))*10+COUNTIF($H205:$J205,"Sí"))</f>
        <v/>
      </c>
      <c r="L205" s="8" t="str">
        <f aca="false">IF($K205="","",COUNTIFS($B$5:$B$304,$B205,$K$5:$K$304,"&gt;"&amp;$K205)+1)</f>
        <v/>
      </c>
      <c r="M205" s="8" t="str">
        <f aca="false">IF($L205="","",IF($L205&lt;=25,"Sí","No"))</f>
        <v/>
      </c>
      <c r="N205" s="13"/>
    </row>
    <row r="206" customFormat="false" ht="15" hidden="false" customHeight="false" outlineLevel="0" collapsed="false">
      <c r="A206" s="13"/>
      <c r="B206" s="13"/>
      <c r="C206" s="13"/>
      <c r="D206" s="13"/>
      <c r="E206" s="8" t="str">
        <f aca="false">IF($D206="","",IFERROR(INDEX(Catálogo!$B$2:$B$200,MATCH($D206,Catálogo!$A$2:$A$200,0)),"ID no existe"))</f>
        <v/>
      </c>
      <c r="F206" s="8" t="str">
        <f aca="false">IF($D206="","",IFERROR(INDEX(Catálogo!$C$2:$C$200,MATCH($D206,Catálogo!$A$2:$A$200,0)),""))</f>
        <v/>
      </c>
      <c r="G206" s="8" t="str">
        <f aca="false">IF($D206="","",IFERROR(INDEX(Catálogo!$P$2:$P$200,MATCH($D206,Catálogo!$A$2:$A$200,0)),""))</f>
        <v/>
      </c>
      <c r="H206" s="13"/>
      <c r="I206" s="13"/>
      <c r="J206" s="13"/>
      <c r="K206" s="8" t="str">
        <f aca="false">IF($G206="","",IF($G206="Alta",3,IF($G206="Media",2,1))*10+COUNTIF($H206:$J206,"Sí"))</f>
        <v/>
      </c>
      <c r="L206" s="8" t="str">
        <f aca="false">IF($K206="","",COUNTIFS($B$5:$B$304,$B206,$K$5:$K$304,"&gt;"&amp;$K206)+1)</f>
        <v/>
      </c>
      <c r="M206" s="8" t="str">
        <f aca="false">IF($L206="","",IF($L206&lt;=25,"Sí","No"))</f>
        <v/>
      </c>
      <c r="N206" s="13"/>
    </row>
    <row r="207" customFormat="false" ht="15" hidden="false" customHeight="false" outlineLevel="0" collapsed="false">
      <c r="A207" s="13"/>
      <c r="B207" s="13"/>
      <c r="C207" s="13"/>
      <c r="D207" s="13"/>
      <c r="E207" s="8" t="str">
        <f aca="false">IF($D207="","",IFERROR(INDEX(Catálogo!$B$2:$B$200,MATCH($D207,Catálogo!$A$2:$A$200,0)),"ID no existe"))</f>
        <v/>
      </c>
      <c r="F207" s="8" t="str">
        <f aca="false">IF($D207="","",IFERROR(INDEX(Catálogo!$C$2:$C$200,MATCH($D207,Catálogo!$A$2:$A$200,0)),""))</f>
        <v/>
      </c>
      <c r="G207" s="8" t="str">
        <f aca="false">IF($D207="","",IFERROR(INDEX(Catálogo!$P$2:$P$200,MATCH($D207,Catálogo!$A$2:$A$200,0)),""))</f>
        <v/>
      </c>
      <c r="H207" s="13"/>
      <c r="I207" s="13"/>
      <c r="J207" s="13"/>
      <c r="K207" s="8" t="str">
        <f aca="false">IF($G207="","",IF($G207="Alta",3,IF($G207="Media",2,1))*10+COUNTIF($H207:$J207,"Sí"))</f>
        <v/>
      </c>
      <c r="L207" s="8" t="str">
        <f aca="false">IF($K207="","",COUNTIFS($B$5:$B$304,$B207,$K$5:$K$304,"&gt;"&amp;$K207)+1)</f>
        <v/>
      </c>
      <c r="M207" s="8" t="str">
        <f aca="false">IF($L207="","",IF($L207&lt;=25,"Sí","No"))</f>
        <v/>
      </c>
      <c r="N207" s="13"/>
    </row>
    <row r="208" customFormat="false" ht="15" hidden="false" customHeight="false" outlineLevel="0" collapsed="false">
      <c r="A208" s="13"/>
      <c r="B208" s="13"/>
      <c r="C208" s="13"/>
      <c r="D208" s="13"/>
      <c r="E208" s="8" t="str">
        <f aca="false">IF($D208="","",IFERROR(INDEX(Catálogo!$B$2:$B$200,MATCH($D208,Catálogo!$A$2:$A$200,0)),"ID no existe"))</f>
        <v/>
      </c>
      <c r="F208" s="8" t="str">
        <f aca="false">IF($D208="","",IFERROR(INDEX(Catálogo!$C$2:$C$200,MATCH($D208,Catálogo!$A$2:$A$200,0)),""))</f>
        <v/>
      </c>
      <c r="G208" s="8" t="str">
        <f aca="false">IF($D208="","",IFERROR(INDEX(Catálogo!$P$2:$P$200,MATCH($D208,Catálogo!$A$2:$A$200,0)),""))</f>
        <v/>
      </c>
      <c r="H208" s="13"/>
      <c r="I208" s="13"/>
      <c r="J208" s="13"/>
      <c r="K208" s="8" t="str">
        <f aca="false">IF($G208="","",IF($G208="Alta",3,IF($G208="Media",2,1))*10+COUNTIF($H208:$J208,"Sí"))</f>
        <v/>
      </c>
      <c r="L208" s="8" t="str">
        <f aca="false">IF($K208="","",COUNTIFS($B$5:$B$304,$B208,$K$5:$K$304,"&gt;"&amp;$K208)+1)</f>
        <v/>
      </c>
      <c r="M208" s="8" t="str">
        <f aca="false">IF($L208="","",IF($L208&lt;=25,"Sí","No"))</f>
        <v/>
      </c>
      <c r="N208" s="13"/>
    </row>
    <row r="209" customFormat="false" ht="15" hidden="false" customHeight="false" outlineLevel="0" collapsed="false">
      <c r="A209" s="13"/>
      <c r="B209" s="13"/>
      <c r="C209" s="13"/>
      <c r="D209" s="13"/>
      <c r="E209" s="8" t="str">
        <f aca="false">IF($D209="","",IFERROR(INDEX(Catálogo!$B$2:$B$200,MATCH($D209,Catálogo!$A$2:$A$200,0)),"ID no existe"))</f>
        <v/>
      </c>
      <c r="F209" s="8" t="str">
        <f aca="false">IF($D209="","",IFERROR(INDEX(Catálogo!$C$2:$C$200,MATCH($D209,Catálogo!$A$2:$A$200,0)),""))</f>
        <v/>
      </c>
      <c r="G209" s="8" t="str">
        <f aca="false">IF($D209="","",IFERROR(INDEX(Catálogo!$P$2:$P$200,MATCH($D209,Catálogo!$A$2:$A$200,0)),""))</f>
        <v/>
      </c>
      <c r="H209" s="13"/>
      <c r="I209" s="13"/>
      <c r="J209" s="13"/>
      <c r="K209" s="8" t="str">
        <f aca="false">IF($G209="","",IF($G209="Alta",3,IF($G209="Media",2,1))*10+COUNTIF($H209:$J209,"Sí"))</f>
        <v/>
      </c>
      <c r="L209" s="8" t="str">
        <f aca="false">IF($K209="","",COUNTIFS($B$5:$B$304,$B209,$K$5:$K$304,"&gt;"&amp;$K209)+1)</f>
        <v/>
      </c>
      <c r="M209" s="8" t="str">
        <f aca="false">IF($L209="","",IF($L209&lt;=25,"Sí","No"))</f>
        <v/>
      </c>
      <c r="N209" s="13"/>
    </row>
    <row r="210" customFormat="false" ht="15" hidden="false" customHeight="false" outlineLevel="0" collapsed="false">
      <c r="A210" s="13"/>
      <c r="B210" s="13"/>
      <c r="C210" s="13"/>
      <c r="D210" s="13"/>
      <c r="E210" s="8" t="str">
        <f aca="false">IF($D210="","",IFERROR(INDEX(Catálogo!$B$2:$B$200,MATCH($D210,Catálogo!$A$2:$A$200,0)),"ID no existe"))</f>
        <v/>
      </c>
      <c r="F210" s="8" t="str">
        <f aca="false">IF($D210="","",IFERROR(INDEX(Catálogo!$C$2:$C$200,MATCH($D210,Catálogo!$A$2:$A$200,0)),""))</f>
        <v/>
      </c>
      <c r="G210" s="8" t="str">
        <f aca="false">IF($D210="","",IFERROR(INDEX(Catálogo!$P$2:$P$200,MATCH($D210,Catálogo!$A$2:$A$200,0)),""))</f>
        <v/>
      </c>
      <c r="H210" s="13"/>
      <c r="I210" s="13"/>
      <c r="J210" s="13"/>
      <c r="K210" s="8" t="str">
        <f aca="false">IF($G210="","",IF($G210="Alta",3,IF($G210="Media",2,1))*10+COUNTIF($H210:$J210,"Sí"))</f>
        <v/>
      </c>
      <c r="L210" s="8" t="str">
        <f aca="false">IF($K210="","",COUNTIFS($B$5:$B$304,$B210,$K$5:$K$304,"&gt;"&amp;$K210)+1)</f>
        <v/>
      </c>
      <c r="M210" s="8" t="str">
        <f aca="false">IF($L210="","",IF($L210&lt;=25,"Sí","No"))</f>
        <v/>
      </c>
      <c r="N210" s="13"/>
    </row>
    <row r="211" customFormat="false" ht="15" hidden="false" customHeight="false" outlineLevel="0" collapsed="false">
      <c r="A211" s="13"/>
      <c r="B211" s="13"/>
      <c r="C211" s="13"/>
      <c r="D211" s="13"/>
      <c r="E211" s="8" t="str">
        <f aca="false">IF($D211="","",IFERROR(INDEX(Catálogo!$B$2:$B$200,MATCH($D211,Catálogo!$A$2:$A$200,0)),"ID no existe"))</f>
        <v/>
      </c>
      <c r="F211" s="8" t="str">
        <f aca="false">IF($D211="","",IFERROR(INDEX(Catálogo!$C$2:$C$200,MATCH($D211,Catálogo!$A$2:$A$200,0)),""))</f>
        <v/>
      </c>
      <c r="G211" s="8" t="str">
        <f aca="false">IF($D211="","",IFERROR(INDEX(Catálogo!$P$2:$P$200,MATCH($D211,Catálogo!$A$2:$A$200,0)),""))</f>
        <v/>
      </c>
      <c r="H211" s="13"/>
      <c r="I211" s="13"/>
      <c r="J211" s="13"/>
      <c r="K211" s="8" t="str">
        <f aca="false">IF($G211="","",IF($G211="Alta",3,IF($G211="Media",2,1))*10+COUNTIF($H211:$J211,"Sí"))</f>
        <v/>
      </c>
      <c r="L211" s="8" t="str">
        <f aca="false">IF($K211="","",COUNTIFS($B$5:$B$304,$B211,$K$5:$K$304,"&gt;"&amp;$K211)+1)</f>
        <v/>
      </c>
      <c r="M211" s="8" t="str">
        <f aca="false">IF($L211="","",IF($L211&lt;=25,"Sí","No"))</f>
        <v/>
      </c>
      <c r="N211" s="13"/>
    </row>
    <row r="212" customFormat="false" ht="15" hidden="false" customHeight="false" outlineLevel="0" collapsed="false">
      <c r="A212" s="13"/>
      <c r="B212" s="13"/>
      <c r="C212" s="13"/>
      <c r="D212" s="13"/>
      <c r="E212" s="8" t="str">
        <f aca="false">IF($D212="","",IFERROR(INDEX(Catálogo!$B$2:$B$200,MATCH($D212,Catálogo!$A$2:$A$200,0)),"ID no existe"))</f>
        <v/>
      </c>
      <c r="F212" s="8" t="str">
        <f aca="false">IF($D212="","",IFERROR(INDEX(Catálogo!$C$2:$C$200,MATCH($D212,Catálogo!$A$2:$A$200,0)),""))</f>
        <v/>
      </c>
      <c r="G212" s="8" t="str">
        <f aca="false">IF($D212="","",IFERROR(INDEX(Catálogo!$P$2:$P$200,MATCH($D212,Catálogo!$A$2:$A$200,0)),""))</f>
        <v/>
      </c>
      <c r="H212" s="13"/>
      <c r="I212" s="13"/>
      <c r="J212" s="13"/>
      <c r="K212" s="8" t="str">
        <f aca="false">IF($G212="","",IF($G212="Alta",3,IF($G212="Media",2,1))*10+COUNTIF($H212:$J212,"Sí"))</f>
        <v/>
      </c>
      <c r="L212" s="8" t="str">
        <f aca="false">IF($K212="","",COUNTIFS($B$5:$B$304,$B212,$K$5:$K$304,"&gt;"&amp;$K212)+1)</f>
        <v/>
      </c>
      <c r="M212" s="8" t="str">
        <f aca="false">IF($L212="","",IF($L212&lt;=25,"Sí","No"))</f>
        <v/>
      </c>
      <c r="N212" s="13"/>
    </row>
    <row r="213" customFormat="false" ht="15" hidden="false" customHeight="false" outlineLevel="0" collapsed="false">
      <c r="A213" s="13"/>
      <c r="B213" s="13"/>
      <c r="C213" s="13"/>
      <c r="D213" s="13"/>
      <c r="E213" s="8" t="str">
        <f aca="false">IF($D213="","",IFERROR(INDEX(Catálogo!$B$2:$B$200,MATCH($D213,Catálogo!$A$2:$A$200,0)),"ID no existe"))</f>
        <v/>
      </c>
      <c r="F213" s="8" t="str">
        <f aca="false">IF($D213="","",IFERROR(INDEX(Catálogo!$C$2:$C$200,MATCH($D213,Catálogo!$A$2:$A$200,0)),""))</f>
        <v/>
      </c>
      <c r="G213" s="8" t="str">
        <f aca="false">IF($D213="","",IFERROR(INDEX(Catálogo!$P$2:$P$200,MATCH($D213,Catálogo!$A$2:$A$200,0)),""))</f>
        <v/>
      </c>
      <c r="H213" s="13"/>
      <c r="I213" s="13"/>
      <c r="J213" s="13"/>
      <c r="K213" s="8" t="str">
        <f aca="false">IF($G213="","",IF($G213="Alta",3,IF($G213="Media",2,1))*10+COUNTIF($H213:$J213,"Sí"))</f>
        <v/>
      </c>
      <c r="L213" s="8" t="str">
        <f aca="false">IF($K213="","",COUNTIFS($B$5:$B$304,$B213,$K$5:$K$304,"&gt;"&amp;$K213)+1)</f>
        <v/>
      </c>
      <c r="M213" s="8" t="str">
        <f aca="false">IF($L213="","",IF($L213&lt;=25,"Sí","No"))</f>
        <v/>
      </c>
      <c r="N213" s="13"/>
    </row>
    <row r="214" customFormat="false" ht="15" hidden="false" customHeight="false" outlineLevel="0" collapsed="false">
      <c r="A214" s="13"/>
      <c r="B214" s="13"/>
      <c r="C214" s="13"/>
      <c r="D214" s="13"/>
      <c r="E214" s="8" t="str">
        <f aca="false">IF($D214="","",IFERROR(INDEX(Catálogo!$B$2:$B$200,MATCH($D214,Catálogo!$A$2:$A$200,0)),"ID no existe"))</f>
        <v/>
      </c>
      <c r="F214" s="8" t="str">
        <f aca="false">IF($D214="","",IFERROR(INDEX(Catálogo!$C$2:$C$200,MATCH($D214,Catálogo!$A$2:$A$200,0)),""))</f>
        <v/>
      </c>
      <c r="G214" s="8" t="str">
        <f aca="false">IF($D214="","",IFERROR(INDEX(Catálogo!$P$2:$P$200,MATCH($D214,Catálogo!$A$2:$A$200,0)),""))</f>
        <v/>
      </c>
      <c r="H214" s="13"/>
      <c r="I214" s="13"/>
      <c r="J214" s="13"/>
      <c r="K214" s="8" t="str">
        <f aca="false">IF($G214="","",IF($G214="Alta",3,IF($G214="Media",2,1))*10+COUNTIF($H214:$J214,"Sí"))</f>
        <v/>
      </c>
      <c r="L214" s="8" t="str">
        <f aca="false">IF($K214="","",COUNTIFS($B$5:$B$304,$B214,$K$5:$K$304,"&gt;"&amp;$K214)+1)</f>
        <v/>
      </c>
      <c r="M214" s="8" t="str">
        <f aca="false">IF($L214="","",IF($L214&lt;=25,"Sí","No"))</f>
        <v/>
      </c>
      <c r="N214" s="13"/>
    </row>
    <row r="215" customFormat="false" ht="15" hidden="false" customHeight="false" outlineLevel="0" collapsed="false">
      <c r="A215" s="13"/>
      <c r="B215" s="13"/>
      <c r="C215" s="13"/>
      <c r="D215" s="13"/>
      <c r="E215" s="8" t="str">
        <f aca="false">IF($D215="","",IFERROR(INDEX(Catálogo!$B$2:$B$200,MATCH($D215,Catálogo!$A$2:$A$200,0)),"ID no existe"))</f>
        <v/>
      </c>
      <c r="F215" s="8" t="str">
        <f aca="false">IF($D215="","",IFERROR(INDEX(Catálogo!$C$2:$C$200,MATCH($D215,Catálogo!$A$2:$A$200,0)),""))</f>
        <v/>
      </c>
      <c r="G215" s="8" t="str">
        <f aca="false">IF($D215="","",IFERROR(INDEX(Catálogo!$P$2:$P$200,MATCH($D215,Catálogo!$A$2:$A$200,0)),""))</f>
        <v/>
      </c>
      <c r="H215" s="13"/>
      <c r="I215" s="13"/>
      <c r="J215" s="13"/>
      <c r="K215" s="8" t="str">
        <f aca="false">IF($G215="","",IF($G215="Alta",3,IF($G215="Media",2,1))*10+COUNTIF($H215:$J215,"Sí"))</f>
        <v/>
      </c>
      <c r="L215" s="8" t="str">
        <f aca="false">IF($K215="","",COUNTIFS($B$5:$B$304,$B215,$K$5:$K$304,"&gt;"&amp;$K215)+1)</f>
        <v/>
      </c>
      <c r="M215" s="8" t="str">
        <f aca="false">IF($L215="","",IF($L215&lt;=25,"Sí","No"))</f>
        <v/>
      </c>
      <c r="N215" s="13"/>
    </row>
    <row r="216" customFormat="false" ht="15" hidden="false" customHeight="false" outlineLevel="0" collapsed="false">
      <c r="A216" s="13"/>
      <c r="B216" s="13"/>
      <c r="C216" s="13"/>
      <c r="D216" s="13"/>
      <c r="E216" s="8" t="str">
        <f aca="false">IF($D216="","",IFERROR(INDEX(Catálogo!$B$2:$B$200,MATCH($D216,Catálogo!$A$2:$A$200,0)),"ID no existe"))</f>
        <v/>
      </c>
      <c r="F216" s="8" t="str">
        <f aca="false">IF($D216="","",IFERROR(INDEX(Catálogo!$C$2:$C$200,MATCH($D216,Catálogo!$A$2:$A$200,0)),""))</f>
        <v/>
      </c>
      <c r="G216" s="8" t="str">
        <f aca="false">IF($D216="","",IFERROR(INDEX(Catálogo!$P$2:$P$200,MATCH($D216,Catálogo!$A$2:$A$200,0)),""))</f>
        <v/>
      </c>
      <c r="H216" s="13"/>
      <c r="I216" s="13"/>
      <c r="J216" s="13"/>
      <c r="K216" s="8" t="str">
        <f aca="false">IF($G216="","",IF($G216="Alta",3,IF($G216="Media",2,1))*10+COUNTIF($H216:$J216,"Sí"))</f>
        <v/>
      </c>
      <c r="L216" s="8" t="str">
        <f aca="false">IF($K216="","",COUNTIFS($B$5:$B$304,$B216,$K$5:$K$304,"&gt;"&amp;$K216)+1)</f>
        <v/>
      </c>
      <c r="M216" s="8" t="str">
        <f aca="false">IF($L216="","",IF($L216&lt;=25,"Sí","No"))</f>
        <v/>
      </c>
      <c r="N216" s="13"/>
    </row>
    <row r="217" customFormat="false" ht="15" hidden="false" customHeight="false" outlineLevel="0" collapsed="false">
      <c r="A217" s="13"/>
      <c r="B217" s="13"/>
      <c r="C217" s="13"/>
      <c r="D217" s="13"/>
      <c r="E217" s="8" t="str">
        <f aca="false">IF($D217="","",IFERROR(INDEX(Catálogo!$B$2:$B$200,MATCH($D217,Catálogo!$A$2:$A$200,0)),"ID no existe"))</f>
        <v/>
      </c>
      <c r="F217" s="8" t="str">
        <f aca="false">IF($D217="","",IFERROR(INDEX(Catálogo!$C$2:$C$200,MATCH($D217,Catálogo!$A$2:$A$200,0)),""))</f>
        <v/>
      </c>
      <c r="G217" s="8" t="str">
        <f aca="false">IF($D217="","",IFERROR(INDEX(Catálogo!$P$2:$P$200,MATCH($D217,Catálogo!$A$2:$A$200,0)),""))</f>
        <v/>
      </c>
      <c r="H217" s="13"/>
      <c r="I217" s="13"/>
      <c r="J217" s="13"/>
      <c r="K217" s="8" t="str">
        <f aca="false">IF($G217="","",IF($G217="Alta",3,IF($G217="Media",2,1))*10+COUNTIF($H217:$J217,"Sí"))</f>
        <v/>
      </c>
      <c r="L217" s="8" t="str">
        <f aca="false">IF($K217="","",COUNTIFS($B$5:$B$304,$B217,$K$5:$K$304,"&gt;"&amp;$K217)+1)</f>
        <v/>
      </c>
      <c r="M217" s="8" t="str">
        <f aca="false">IF($L217="","",IF($L217&lt;=25,"Sí","No"))</f>
        <v/>
      </c>
      <c r="N217" s="13"/>
    </row>
    <row r="218" customFormat="false" ht="15" hidden="false" customHeight="false" outlineLevel="0" collapsed="false">
      <c r="A218" s="13"/>
      <c r="B218" s="13"/>
      <c r="C218" s="13"/>
      <c r="D218" s="13"/>
      <c r="E218" s="8" t="str">
        <f aca="false">IF($D218="","",IFERROR(INDEX(Catálogo!$B$2:$B$200,MATCH($D218,Catálogo!$A$2:$A$200,0)),"ID no existe"))</f>
        <v/>
      </c>
      <c r="F218" s="8" t="str">
        <f aca="false">IF($D218="","",IFERROR(INDEX(Catálogo!$C$2:$C$200,MATCH($D218,Catálogo!$A$2:$A$200,0)),""))</f>
        <v/>
      </c>
      <c r="G218" s="8" t="str">
        <f aca="false">IF($D218="","",IFERROR(INDEX(Catálogo!$P$2:$P$200,MATCH($D218,Catálogo!$A$2:$A$200,0)),""))</f>
        <v/>
      </c>
      <c r="H218" s="13"/>
      <c r="I218" s="13"/>
      <c r="J218" s="13"/>
      <c r="K218" s="8" t="str">
        <f aca="false">IF($G218="","",IF($G218="Alta",3,IF($G218="Media",2,1))*10+COUNTIF($H218:$J218,"Sí"))</f>
        <v/>
      </c>
      <c r="L218" s="8" t="str">
        <f aca="false">IF($K218="","",COUNTIFS($B$5:$B$304,$B218,$K$5:$K$304,"&gt;"&amp;$K218)+1)</f>
        <v/>
      </c>
      <c r="M218" s="8" t="str">
        <f aca="false">IF($L218="","",IF($L218&lt;=25,"Sí","No"))</f>
        <v/>
      </c>
      <c r="N218" s="13"/>
    </row>
    <row r="219" customFormat="false" ht="15" hidden="false" customHeight="false" outlineLevel="0" collapsed="false">
      <c r="A219" s="13"/>
      <c r="B219" s="13"/>
      <c r="C219" s="13"/>
      <c r="D219" s="13"/>
      <c r="E219" s="8" t="str">
        <f aca="false">IF($D219="","",IFERROR(INDEX(Catálogo!$B$2:$B$200,MATCH($D219,Catálogo!$A$2:$A$200,0)),"ID no existe"))</f>
        <v/>
      </c>
      <c r="F219" s="8" t="str">
        <f aca="false">IF($D219="","",IFERROR(INDEX(Catálogo!$C$2:$C$200,MATCH($D219,Catálogo!$A$2:$A$200,0)),""))</f>
        <v/>
      </c>
      <c r="G219" s="8" t="str">
        <f aca="false">IF($D219="","",IFERROR(INDEX(Catálogo!$P$2:$P$200,MATCH($D219,Catálogo!$A$2:$A$200,0)),""))</f>
        <v/>
      </c>
      <c r="H219" s="13"/>
      <c r="I219" s="13"/>
      <c r="J219" s="13"/>
      <c r="K219" s="8" t="str">
        <f aca="false">IF($G219="","",IF($G219="Alta",3,IF($G219="Media",2,1))*10+COUNTIF($H219:$J219,"Sí"))</f>
        <v/>
      </c>
      <c r="L219" s="8" t="str">
        <f aca="false">IF($K219="","",COUNTIFS($B$5:$B$304,$B219,$K$5:$K$304,"&gt;"&amp;$K219)+1)</f>
        <v/>
      </c>
      <c r="M219" s="8" t="str">
        <f aca="false">IF($L219="","",IF($L219&lt;=25,"Sí","No"))</f>
        <v/>
      </c>
      <c r="N219" s="13"/>
    </row>
    <row r="220" customFormat="false" ht="15" hidden="false" customHeight="false" outlineLevel="0" collapsed="false">
      <c r="A220" s="13"/>
      <c r="B220" s="13"/>
      <c r="C220" s="13"/>
      <c r="D220" s="13"/>
      <c r="E220" s="8" t="str">
        <f aca="false">IF($D220="","",IFERROR(INDEX(Catálogo!$B$2:$B$200,MATCH($D220,Catálogo!$A$2:$A$200,0)),"ID no existe"))</f>
        <v/>
      </c>
      <c r="F220" s="8" t="str">
        <f aca="false">IF($D220="","",IFERROR(INDEX(Catálogo!$C$2:$C$200,MATCH($D220,Catálogo!$A$2:$A$200,0)),""))</f>
        <v/>
      </c>
      <c r="G220" s="8" t="str">
        <f aca="false">IF($D220="","",IFERROR(INDEX(Catálogo!$P$2:$P$200,MATCH($D220,Catálogo!$A$2:$A$200,0)),""))</f>
        <v/>
      </c>
      <c r="H220" s="13"/>
      <c r="I220" s="13"/>
      <c r="J220" s="13"/>
      <c r="K220" s="8" t="str">
        <f aca="false">IF($G220="","",IF($G220="Alta",3,IF($G220="Media",2,1))*10+COUNTIF($H220:$J220,"Sí"))</f>
        <v/>
      </c>
      <c r="L220" s="8" t="str">
        <f aca="false">IF($K220="","",COUNTIFS($B$5:$B$304,$B220,$K$5:$K$304,"&gt;"&amp;$K220)+1)</f>
        <v/>
      </c>
      <c r="M220" s="8" t="str">
        <f aca="false">IF($L220="","",IF($L220&lt;=25,"Sí","No"))</f>
        <v/>
      </c>
      <c r="N220" s="13"/>
    </row>
    <row r="221" customFormat="false" ht="15" hidden="false" customHeight="false" outlineLevel="0" collapsed="false">
      <c r="A221" s="13"/>
      <c r="B221" s="13"/>
      <c r="C221" s="13"/>
      <c r="D221" s="13"/>
      <c r="E221" s="8" t="str">
        <f aca="false">IF($D221="","",IFERROR(INDEX(Catálogo!$B$2:$B$200,MATCH($D221,Catálogo!$A$2:$A$200,0)),"ID no existe"))</f>
        <v/>
      </c>
      <c r="F221" s="8" t="str">
        <f aca="false">IF($D221="","",IFERROR(INDEX(Catálogo!$C$2:$C$200,MATCH($D221,Catálogo!$A$2:$A$200,0)),""))</f>
        <v/>
      </c>
      <c r="G221" s="8" t="str">
        <f aca="false">IF($D221="","",IFERROR(INDEX(Catálogo!$P$2:$P$200,MATCH($D221,Catálogo!$A$2:$A$200,0)),""))</f>
        <v/>
      </c>
      <c r="H221" s="13"/>
      <c r="I221" s="13"/>
      <c r="J221" s="13"/>
      <c r="K221" s="8" t="str">
        <f aca="false">IF($G221="","",IF($G221="Alta",3,IF($G221="Media",2,1))*10+COUNTIF($H221:$J221,"Sí"))</f>
        <v/>
      </c>
      <c r="L221" s="8" t="str">
        <f aca="false">IF($K221="","",COUNTIFS($B$5:$B$304,$B221,$K$5:$K$304,"&gt;"&amp;$K221)+1)</f>
        <v/>
      </c>
      <c r="M221" s="8" t="str">
        <f aca="false">IF($L221="","",IF($L221&lt;=25,"Sí","No"))</f>
        <v/>
      </c>
      <c r="N221" s="13"/>
    </row>
    <row r="222" customFormat="false" ht="15" hidden="false" customHeight="false" outlineLevel="0" collapsed="false">
      <c r="A222" s="13"/>
      <c r="B222" s="13"/>
      <c r="C222" s="13"/>
      <c r="D222" s="13"/>
      <c r="E222" s="8" t="str">
        <f aca="false">IF($D222="","",IFERROR(INDEX(Catálogo!$B$2:$B$200,MATCH($D222,Catálogo!$A$2:$A$200,0)),"ID no existe"))</f>
        <v/>
      </c>
      <c r="F222" s="8" t="str">
        <f aca="false">IF($D222="","",IFERROR(INDEX(Catálogo!$C$2:$C$200,MATCH($D222,Catálogo!$A$2:$A$200,0)),""))</f>
        <v/>
      </c>
      <c r="G222" s="8" t="str">
        <f aca="false">IF($D222="","",IFERROR(INDEX(Catálogo!$P$2:$P$200,MATCH($D222,Catálogo!$A$2:$A$200,0)),""))</f>
        <v/>
      </c>
      <c r="H222" s="13"/>
      <c r="I222" s="13"/>
      <c r="J222" s="13"/>
      <c r="K222" s="8" t="str">
        <f aca="false">IF($G222="","",IF($G222="Alta",3,IF($G222="Media",2,1))*10+COUNTIF($H222:$J222,"Sí"))</f>
        <v/>
      </c>
      <c r="L222" s="8" t="str">
        <f aca="false">IF($K222="","",COUNTIFS($B$5:$B$304,$B222,$K$5:$K$304,"&gt;"&amp;$K222)+1)</f>
        <v/>
      </c>
      <c r="M222" s="8" t="str">
        <f aca="false">IF($L222="","",IF($L222&lt;=25,"Sí","No"))</f>
        <v/>
      </c>
      <c r="N222" s="13"/>
    </row>
    <row r="223" customFormat="false" ht="15" hidden="false" customHeight="false" outlineLevel="0" collapsed="false">
      <c r="A223" s="13"/>
      <c r="B223" s="13"/>
      <c r="C223" s="13"/>
      <c r="D223" s="13"/>
      <c r="E223" s="8" t="str">
        <f aca="false">IF($D223="","",IFERROR(INDEX(Catálogo!$B$2:$B$200,MATCH($D223,Catálogo!$A$2:$A$200,0)),"ID no existe"))</f>
        <v/>
      </c>
      <c r="F223" s="8" t="str">
        <f aca="false">IF($D223="","",IFERROR(INDEX(Catálogo!$C$2:$C$200,MATCH($D223,Catálogo!$A$2:$A$200,0)),""))</f>
        <v/>
      </c>
      <c r="G223" s="8" t="str">
        <f aca="false">IF($D223="","",IFERROR(INDEX(Catálogo!$P$2:$P$200,MATCH($D223,Catálogo!$A$2:$A$200,0)),""))</f>
        <v/>
      </c>
      <c r="H223" s="13"/>
      <c r="I223" s="13"/>
      <c r="J223" s="13"/>
      <c r="K223" s="8" t="str">
        <f aca="false">IF($G223="","",IF($G223="Alta",3,IF($G223="Media",2,1))*10+COUNTIF($H223:$J223,"Sí"))</f>
        <v/>
      </c>
      <c r="L223" s="8" t="str">
        <f aca="false">IF($K223="","",COUNTIFS($B$5:$B$304,$B223,$K$5:$K$304,"&gt;"&amp;$K223)+1)</f>
        <v/>
      </c>
      <c r="M223" s="8" t="str">
        <f aca="false">IF($L223="","",IF($L223&lt;=25,"Sí","No"))</f>
        <v/>
      </c>
      <c r="N223" s="13"/>
    </row>
    <row r="224" customFormat="false" ht="15" hidden="false" customHeight="false" outlineLevel="0" collapsed="false">
      <c r="A224" s="13"/>
      <c r="B224" s="13"/>
      <c r="C224" s="13"/>
      <c r="D224" s="13"/>
      <c r="E224" s="8" t="str">
        <f aca="false">IF($D224="","",IFERROR(INDEX(Catálogo!$B$2:$B$200,MATCH($D224,Catálogo!$A$2:$A$200,0)),"ID no existe"))</f>
        <v/>
      </c>
      <c r="F224" s="8" t="str">
        <f aca="false">IF($D224="","",IFERROR(INDEX(Catálogo!$C$2:$C$200,MATCH($D224,Catálogo!$A$2:$A$200,0)),""))</f>
        <v/>
      </c>
      <c r="G224" s="8" t="str">
        <f aca="false">IF($D224="","",IFERROR(INDEX(Catálogo!$P$2:$P$200,MATCH($D224,Catálogo!$A$2:$A$200,0)),""))</f>
        <v/>
      </c>
      <c r="H224" s="13"/>
      <c r="I224" s="13"/>
      <c r="J224" s="13"/>
      <c r="K224" s="8" t="str">
        <f aca="false">IF($G224="","",IF($G224="Alta",3,IF($G224="Media",2,1))*10+COUNTIF($H224:$J224,"Sí"))</f>
        <v/>
      </c>
      <c r="L224" s="8" t="str">
        <f aca="false">IF($K224="","",COUNTIFS($B$5:$B$304,$B224,$K$5:$K$304,"&gt;"&amp;$K224)+1)</f>
        <v/>
      </c>
      <c r="M224" s="8" t="str">
        <f aca="false">IF($L224="","",IF($L224&lt;=25,"Sí","No"))</f>
        <v/>
      </c>
      <c r="N224" s="13"/>
    </row>
    <row r="225" customFormat="false" ht="15" hidden="false" customHeight="false" outlineLevel="0" collapsed="false">
      <c r="A225" s="13"/>
      <c r="B225" s="13"/>
      <c r="C225" s="13"/>
      <c r="D225" s="13"/>
      <c r="E225" s="8" t="str">
        <f aca="false">IF($D225="","",IFERROR(INDEX(Catálogo!$B$2:$B$200,MATCH($D225,Catálogo!$A$2:$A$200,0)),"ID no existe"))</f>
        <v/>
      </c>
      <c r="F225" s="8" t="str">
        <f aca="false">IF($D225="","",IFERROR(INDEX(Catálogo!$C$2:$C$200,MATCH($D225,Catálogo!$A$2:$A$200,0)),""))</f>
        <v/>
      </c>
      <c r="G225" s="8" t="str">
        <f aca="false">IF($D225="","",IFERROR(INDEX(Catálogo!$P$2:$P$200,MATCH($D225,Catálogo!$A$2:$A$200,0)),""))</f>
        <v/>
      </c>
      <c r="H225" s="13"/>
      <c r="I225" s="13"/>
      <c r="J225" s="13"/>
      <c r="K225" s="8" t="str">
        <f aca="false">IF($G225="","",IF($G225="Alta",3,IF($G225="Media",2,1))*10+COUNTIF($H225:$J225,"Sí"))</f>
        <v/>
      </c>
      <c r="L225" s="8" t="str">
        <f aca="false">IF($K225="","",COUNTIFS($B$5:$B$304,$B225,$K$5:$K$304,"&gt;"&amp;$K225)+1)</f>
        <v/>
      </c>
      <c r="M225" s="8" t="str">
        <f aca="false">IF($L225="","",IF($L225&lt;=25,"Sí","No"))</f>
        <v/>
      </c>
      <c r="N225" s="13"/>
    </row>
    <row r="226" customFormat="false" ht="15" hidden="false" customHeight="false" outlineLevel="0" collapsed="false">
      <c r="A226" s="13"/>
      <c r="B226" s="13"/>
      <c r="C226" s="13"/>
      <c r="D226" s="13"/>
      <c r="E226" s="8" t="str">
        <f aca="false">IF($D226="","",IFERROR(INDEX(Catálogo!$B$2:$B$200,MATCH($D226,Catálogo!$A$2:$A$200,0)),"ID no existe"))</f>
        <v/>
      </c>
      <c r="F226" s="8" t="str">
        <f aca="false">IF($D226="","",IFERROR(INDEX(Catálogo!$C$2:$C$200,MATCH($D226,Catálogo!$A$2:$A$200,0)),""))</f>
        <v/>
      </c>
      <c r="G226" s="8" t="str">
        <f aca="false">IF($D226="","",IFERROR(INDEX(Catálogo!$P$2:$P$200,MATCH($D226,Catálogo!$A$2:$A$200,0)),""))</f>
        <v/>
      </c>
      <c r="H226" s="13"/>
      <c r="I226" s="13"/>
      <c r="J226" s="13"/>
      <c r="K226" s="8" t="str">
        <f aca="false">IF($G226="","",IF($G226="Alta",3,IF($G226="Media",2,1))*10+COUNTIF($H226:$J226,"Sí"))</f>
        <v/>
      </c>
      <c r="L226" s="8" t="str">
        <f aca="false">IF($K226="","",COUNTIFS($B$5:$B$304,$B226,$K$5:$K$304,"&gt;"&amp;$K226)+1)</f>
        <v/>
      </c>
      <c r="M226" s="8" t="str">
        <f aca="false">IF($L226="","",IF($L226&lt;=25,"Sí","No"))</f>
        <v/>
      </c>
      <c r="N226" s="13"/>
    </row>
    <row r="227" customFormat="false" ht="15" hidden="false" customHeight="false" outlineLevel="0" collapsed="false">
      <c r="A227" s="13"/>
      <c r="B227" s="13"/>
      <c r="C227" s="13"/>
      <c r="D227" s="13"/>
      <c r="E227" s="8" t="str">
        <f aca="false">IF($D227="","",IFERROR(INDEX(Catálogo!$B$2:$B$200,MATCH($D227,Catálogo!$A$2:$A$200,0)),"ID no existe"))</f>
        <v/>
      </c>
      <c r="F227" s="8" t="str">
        <f aca="false">IF($D227="","",IFERROR(INDEX(Catálogo!$C$2:$C$200,MATCH($D227,Catálogo!$A$2:$A$200,0)),""))</f>
        <v/>
      </c>
      <c r="G227" s="8" t="str">
        <f aca="false">IF($D227="","",IFERROR(INDEX(Catálogo!$P$2:$P$200,MATCH($D227,Catálogo!$A$2:$A$200,0)),""))</f>
        <v/>
      </c>
      <c r="H227" s="13"/>
      <c r="I227" s="13"/>
      <c r="J227" s="13"/>
      <c r="K227" s="8" t="str">
        <f aca="false">IF($G227="","",IF($G227="Alta",3,IF($G227="Media",2,1))*10+COUNTIF($H227:$J227,"Sí"))</f>
        <v/>
      </c>
      <c r="L227" s="8" t="str">
        <f aca="false">IF($K227="","",COUNTIFS($B$5:$B$304,$B227,$K$5:$K$304,"&gt;"&amp;$K227)+1)</f>
        <v/>
      </c>
      <c r="M227" s="8" t="str">
        <f aca="false">IF($L227="","",IF($L227&lt;=25,"Sí","No"))</f>
        <v/>
      </c>
      <c r="N227" s="13"/>
    </row>
    <row r="228" customFormat="false" ht="15" hidden="false" customHeight="false" outlineLevel="0" collapsed="false">
      <c r="A228" s="13"/>
      <c r="B228" s="13"/>
      <c r="C228" s="13"/>
      <c r="D228" s="13"/>
      <c r="E228" s="8" t="str">
        <f aca="false">IF($D228="","",IFERROR(INDEX(Catálogo!$B$2:$B$200,MATCH($D228,Catálogo!$A$2:$A$200,0)),"ID no existe"))</f>
        <v/>
      </c>
      <c r="F228" s="8" t="str">
        <f aca="false">IF($D228="","",IFERROR(INDEX(Catálogo!$C$2:$C$200,MATCH($D228,Catálogo!$A$2:$A$200,0)),""))</f>
        <v/>
      </c>
      <c r="G228" s="8" t="str">
        <f aca="false">IF($D228="","",IFERROR(INDEX(Catálogo!$P$2:$P$200,MATCH($D228,Catálogo!$A$2:$A$200,0)),""))</f>
        <v/>
      </c>
      <c r="H228" s="13"/>
      <c r="I228" s="13"/>
      <c r="J228" s="13"/>
      <c r="K228" s="8" t="str">
        <f aca="false">IF($G228="","",IF($G228="Alta",3,IF($G228="Media",2,1))*10+COUNTIF($H228:$J228,"Sí"))</f>
        <v/>
      </c>
      <c r="L228" s="8" t="str">
        <f aca="false">IF($K228="","",COUNTIFS($B$5:$B$304,$B228,$K$5:$K$304,"&gt;"&amp;$K228)+1)</f>
        <v/>
      </c>
      <c r="M228" s="8" t="str">
        <f aca="false">IF($L228="","",IF($L228&lt;=25,"Sí","No"))</f>
        <v/>
      </c>
      <c r="N228" s="13"/>
    </row>
    <row r="229" customFormat="false" ht="15" hidden="false" customHeight="false" outlineLevel="0" collapsed="false">
      <c r="A229" s="13"/>
      <c r="B229" s="13"/>
      <c r="C229" s="13"/>
      <c r="D229" s="13"/>
      <c r="E229" s="8" t="str">
        <f aca="false">IF($D229="","",IFERROR(INDEX(Catálogo!$B$2:$B$200,MATCH($D229,Catálogo!$A$2:$A$200,0)),"ID no existe"))</f>
        <v/>
      </c>
      <c r="F229" s="8" t="str">
        <f aca="false">IF($D229="","",IFERROR(INDEX(Catálogo!$C$2:$C$200,MATCH($D229,Catálogo!$A$2:$A$200,0)),""))</f>
        <v/>
      </c>
      <c r="G229" s="8" t="str">
        <f aca="false">IF($D229="","",IFERROR(INDEX(Catálogo!$P$2:$P$200,MATCH($D229,Catálogo!$A$2:$A$200,0)),""))</f>
        <v/>
      </c>
      <c r="H229" s="13"/>
      <c r="I229" s="13"/>
      <c r="J229" s="13"/>
      <c r="K229" s="8" t="str">
        <f aca="false">IF($G229="","",IF($G229="Alta",3,IF($G229="Media",2,1))*10+COUNTIF($H229:$J229,"Sí"))</f>
        <v/>
      </c>
      <c r="L229" s="8" t="str">
        <f aca="false">IF($K229="","",COUNTIFS($B$5:$B$304,$B229,$K$5:$K$304,"&gt;"&amp;$K229)+1)</f>
        <v/>
      </c>
      <c r="M229" s="8" t="str">
        <f aca="false">IF($L229="","",IF($L229&lt;=25,"Sí","No"))</f>
        <v/>
      </c>
      <c r="N229" s="13"/>
    </row>
    <row r="230" customFormat="false" ht="15" hidden="false" customHeight="false" outlineLevel="0" collapsed="false">
      <c r="A230" s="13"/>
      <c r="B230" s="13"/>
      <c r="C230" s="13"/>
      <c r="D230" s="13"/>
      <c r="E230" s="8" t="str">
        <f aca="false">IF($D230="","",IFERROR(INDEX(Catálogo!$B$2:$B$200,MATCH($D230,Catálogo!$A$2:$A$200,0)),"ID no existe"))</f>
        <v/>
      </c>
      <c r="F230" s="8" t="str">
        <f aca="false">IF($D230="","",IFERROR(INDEX(Catálogo!$C$2:$C$200,MATCH($D230,Catálogo!$A$2:$A$200,0)),""))</f>
        <v/>
      </c>
      <c r="G230" s="8" t="str">
        <f aca="false">IF($D230="","",IFERROR(INDEX(Catálogo!$P$2:$P$200,MATCH($D230,Catálogo!$A$2:$A$200,0)),""))</f>
        <v/>
      </c>
      <c r="H230" s="13"/>
      <c r="I230" s="13"/>
      <c r="J230" s="13"/>
      <c r="K230" s="8" t="str">
        <f aca="false">IF($G230="","",IF($G230="Alta",3,IF($G230="Media",2,1))*10+COUNTIF($H230:$J230,"Sí"))</f>
        <v/>
      </c>
      <c r="L230" s="8" t="str">
        <f aca="false">IF($K230="","",COUNTIFS($B$5:$B$304,$B230,$K$5:$K$304,"&gt;"&amp;$K230)+1)</f>
        <v/>
      </c>
      <c r="M230" s="8" t="str">
        <f aca="false">IF($L230="","",IF($L230&lt;=25,"Sí","No"))</f>
        <v/>
      </c>
      <c r="N230" s="13"/>
    </row>
    <row r="231" customFormat="false" ht="15" hidden="false" customHeight="false" outlineLevel="0" collapsed="false">
      <c r="A231" s="13"/>
      <c r="B231" s="13"/>
      <c r="C231" s="13"/>
      <c r="D231" s="13"/>
      <c r="E231" s="8" t="str">
        <f aca="false">IF($D231="","",IFERROR(INDEX(Catálogo!$B$2:$B$200,MATCH($D231,Catálogo!$A$2:$A$200,0)),"ID no existe"))</f>
        <v/>
      </c>
      <c r="F231" s="8" t="str">
        <f aca="false">IF($D231="","",IFERROR(INDEX(Catálogo!$C$2:$C$200,MATCH($D231,Catálogo!$A$2:$A$200,0)),""))</f>
        <v/>
      </c>
      <c r="G231" s="8" t="str">
        <f aca="false">IF($D231="","",IFERROR(INDEX(Catálogo!$P$2:$P$200,MATCH($D231,Catálogo!$A$2:$A$200,0)),""))</f>
        <v/>
      </c>
      <c r="H231" s="13"/>
      <c r="I231" s="13"/>
      <c r="J231" s="13"/>
      <c r="K231" s="8" t="str">
        <f aca="false">IF($G231="","",IF($G231="Alta",3,IF($G231="Media",2,1))*10+COUNTIF($H231:$J231,"Sí"))</f>
        <v/>
      </c>
      <c r="L231" s="8" t="str">
        <f aca="false">IF($K231="","",COUNTIFS($B$5:$B$304,$B231,$K$5:$K$304,"&gt;"&amp;$K231)+1)</f>
        <v/>
      </c>
      <c r="M231" s="8" t="str">
        <f aca="false">IF($L231="","",IF($L231&lt;=25,"Sí","No"))</f>
        <v/>
      </c>
      <c r="N231" s="13"/>
    </row>
    <row r="232" customFormat="false" ht="15" hidden="false" customHeight="false" outlineLevel="0" collapsed="false">
      <c r="A232" s="13"/>
      <c r="B232" s="13"/>
      <c r="C232" s="13"/>
      <c r="D232" s="13"/>
      <c r="E232" s="8" t="str">
        <f aca="false">IF($D232="","",IFERROR(INDEX(Catálogo!$B$2:$B$200,MATCH($D232,Catálogo!$A$2:$A$200,0)),"ID no existe"))</f>
        <v/>
      </c>
      <c r="F232" s="8" t="str">
        <f aca="false">IF($D232="","",IFERROR(INDEX(Catálogo!$C$2:$C$200,MATCH($D232,Catálogo!$A$2:$A$200,0)),""))</f>
        <v/>
      </c>
      <c r="G232" s="8" t="str">
        <f aca="false">IF($D232="","",IFERROR(INDEX(Catálogo!$P$2:$P$200,MATCH($D232,Catálogo!$A$2:$A$200,0)),""))</f>
        <v/>
      </c>
      <c r="H232" s="13"/>
      <c r="I232" s="13"/>
      <c r="J232" s="13"/>
      <c r="K232" s="8" t="str">
        <f aca="false">IF($G232="","",IF($G232="Alta",3,IF($G232="Media",2,1))*10+COUNTIF($H232:$J232,"Sí"))</f>
        <v/>
      </c>
      <c r="L232" s="8" t="str">
        <f aca="false">IF($K232="","",COUNTIFS($B$5:$B$304,$B232,$K$5:$K$304,"&gt;"&amp;$K232)+1)</f>
        <v/>
      </c>
      <c r="M232" s="8" t="str">
        <f aca="false">IF($L232="","",IF($L232&lt;=25,"Sí","No"))</f>
        <v/>
      </c>
      <c r="N232" s="13"/>
    </row>
    <row r="233" customFormat="false" ht="15" hidden="false" customHeight="false" outlineLevel="0" collapsed="false">
      <c r="A233" s="13"/>
      <c r="B233" s="13"/>
      <c r="C233" s="13"/>
      <c r="D233" s="13"/>
      <c r="E233" s="8" t="str">
        <f aca="false">IF($D233="","",IFERROR(INDEX(Catálogo!$B$2:$B$200,MATCH($D233,Catálogo!$A$2:$A$200,0)),"ID no existe"))</f>
        <v/>
      </c>
      <c r="F233" s="8" t="str">
        <f aca="false">IF($D233="","",IFERROR(INDEX(Catálogo!$C$2:$C$200,MATCH($D233,Catálogo!$A$2:$A$200,0)),""))</f>
        <v/>
      </c>
      <c r="G233" s="8" t="str">
        <f aca="false">IF($D233="","",IFERROR(INDEX(Catálogo!$P$2:$P$200,MATCH($D233,Catálogo!$A$2:$A$200,0)),""))</f>
        <v/>
      </c>
      <c r="H233" s="13"/>
      <c r="I233" s="13"/>
      <c r="J233" s="13"/>
      <c r="K233" s="8" t="str">
        <f aca="false">IF($G233="","",IF($G233="Alta",3,IF($G233="Media",2,1))*10+COUNTIF($H233:$J233,"Sí"))</f>
        <v/>
      </c>
      <c r="L233" s="8" t="str">
        <f aca="false">IF($K233="","",COUNTIFS($B$5:$B$304,$B233,$K$5:$K$304,"&gt;"&amp;$K233)+1)</f>
        <v/>
      </c>
      <c r="M233" s="8" t="str">
        <f aca="false">IF($L233="","",IF($L233&lt;=25,"Sí","No"))</f>
        <v/>
      </c>
      <c r="N233" s="13"/>
    </row>
    <row r="234" customFormat="false" ht="15" hidden="false" customHeight="false" outlineLevel="0" collapsed="false">
      <c r="A234" s="13"/>
      <c r="B234" s="13"/>
      <c r="C234" s="13"/>
      <c r="D234" s="13"/>
      <c r="E234" s="8" t="str">
        <f aca="false">IF($D234="","",IFERROR(INDEX(Catálogo!$B$2:$B$200,MATCH($D234,Catálogo!$A$2:$A$200,0)),"ID no existe"))</f>
        <v/>
      </c>
      <c r="F234" s="8" t="str">
        <f aca="false">IF($D234="","",IFERROR(INDEX(Catálogo!$C$2:$C$200,MATCH($D234,Catálogo!$A$2:$A$200,0)),""))</f>
        <v/>
      </c>
      <c r="G234" s="8" t="str">
        <f aca="false">IF($D234="","",IFERROR(INDEX(Catálogo!$P$2:$P$200,MATCH($D234,Catálogo!$A$2:$A$200,0)),""))</f>
        <v/>
      </c>
      <c r="H234" s="13"/>
      <c r="I234" s="13"/>
      <c r="J234" s="13"/>
      <c r="K234" s="8" t="str">
        <f aca="false">IF($G234="","",IF($G234="Alta",3,IF($G234="Media",2,1))*10+COUNTIF($H234:$J234,"Sí"))</f>
        <v/>
      </c>
      <c r="L234" s="8" t="str">
        <f aca="false">IF($K234="","",COUNTIFS($B$5:$B$304,$B234,$K$5:$K$304,"&gt;"&amp;$K234)+1)</f>
        <v/>
      </c>
      <c r="M234" s="8" t="str">
        <f aca="false">IF($L234="","",IF($L234&lt;=25,"Sí","No"))</f>
        <v/>
      </c>
      <c r="N234" s="13"/>
    </row>
    <row r="235" customFormat="false" ht="15" hidden="false" customHeight="false" outlineLevel="0" collapsed="false">
      <c r="A235" s="13"/>
      <c r="B235" s="13"/>
      <c r="C235" s="13"/>
      <c r="D235" s="13"/>
      <c r="E235" s="8" t="str">
        <f aca="false">IF($D235="","",IFERROR(INDEX(Catálogo!$B$2:$B$200,MATCH($D235,Catálogo!$A$2:$A$200,0)),"ID no existe"))</f>
        <v/>
      </c>
      <c r="F235" s="8" t="str">
        <f aca="false">IF($D235="","",IFERROR(INDEX(Catálogo!$C$2:$C$200,MATCH($D235,Catálogo!$A$2:$A$200,0)),""))</f>
        <v/>
      </c>
      <c r="G235" s="8" t="str">
        <f aca="false">IF($D235="","",IFERROR(INDEX(Catálogo!$P$2:$P$200,MATCH($D235,Catálogo!$A$2:$A$200,0)),""))</f>
        <v/>
      </c>
      <c r="H235" s="13"/>
      <c r="I235" s="13"/>
      <c r="J235" s="13"/>
      <c r="K235" s="8" t="str">
        <f aca="false">IF($G235="","",IF($G235="Alta",3,IF($G235="Media",2,1))*10+COUNTIF($H235:$J235,"Sí"))</f>
        <v/>
      </c>
      <c r="L235" s="8" t="str">
        <f aca="false">IF($K235="","",COUNTIFS($B$5:$B$304,$B235,$K$5:$K$304,"&gt;"&amp;$K235)+1)</f>
        <v/>
      </c>
      <c r="M235" s="8" t="str">
        <f aca="false">IF($L235="","",IF($L235&lt;=25,"Sí","No"))</f>
        <v/>
      </c>
      <c r="N235" s="13"/>
    </row>
    <row r="236" customFormat="false" ht="15" hidden="false" customHeight="false" outlineLevel="0" collapsed="false">
      <c r="A236" s="13"/>
      <c r="B236" s="13"/>
      <c r="C236" s="13"/>
      <c r="D236" s="13"/>
      <c r="E236" s="8" t="str">
        <f aca="false">IF($D236="","",IFERROR(INDEX(Catálogo!$B$2:$B$200,MATCH($D236,Catálogo!$A$2:$A$200,0)),"ID no existe"))</f>
        <v/>
      </c>
      <c r="F236" s="8" t="str">
        <f aca="false">IF($D236="","",IFERROR(INDEX(Catálogo!$C$2:$C$200,MATCH($D236,Catálogo!$A$2:$A$200,0)),""))</f>
        <v/>
      </c>
      <c r="G236" s="8" t="str">
        <f aca="false">IF($D236="","",IFERROR(INDEX(Catálogo!$P$2:$P$200,MATCH($D236,Catálogo!$A$2:$A$200,0)),""))</f>
        <v/>
      </c>
      <c r="H236" s="13"/>
      <c r="I236" s="13"/>
      <c r="J236" s="13"/>
      <c r="K236" s="8" t="str">
        <f aca="false">IF($G236="","",IF($G236="Alta",3,IF($G236="Media",2,1))*10+COUNTIF($H236:$J236,"Sí"))</f>
        <v/>
      </c>
      <c r="L236" s="8" t="str">
        <f aca="false">IF($K236="","",COUNTIFS($B$5:$B$304,$B236,$K$5:$K$304,"&gt;"&amp;$K236)+1)</f>
        <v/>
      </c>
      <c r="M236" s="8" t="str">
        <f aca="false">IF($L236="","",IF($L236&lt;=25,"Sí","No"))</f>
        <v/>
      </c>
      <c r="N236" s="13"/>
    </row>
    <row r="237" customFormat="false" ht="15" hidden="false" customHeight="false" outlineLevel="0" collapsed="false">
      <c r="A237" s="13"/>
      <c r="B237" s="13"/>
      <c r="C237" s="13"/>
      <c r="D237" s="13"/>
      <c r="E237" s="8" t="str">
        <f aca="false">IF($D237="","",IFERROR(INDEX(Catálogo!$B$2:$B$200,MATCH($D237,Catálogo!$A$2:$A$200,0)),"ID no existe"))</f>
        <v/>
      </c>
      <c r="F237" s="8" t="str">
        <f aca="false">IF($D237="","",IFERROR(INDEX(Catálogo!$C$2:$C$200,MATCH($D237,Catálogo!$A$2:$A$200,0)),""))</f>
        <v/>
      </c>
      <c r="G237" s="8" t="str">
        <f aca="false">IF($D237="","",IFERROR(INDEX(Catálogo!$P$2:$P$200,MATCH($D237,Catálogo!$A$2:$A$200,0)),""))</f>
        <v/>
      </c>
      <c r="H237" s="13"/>
      <c r="I237" s="13"/>
      <c r="J237" s="13"/>
      <c r="K237" s="8" t="str">
        <f aca="false">IF($G237="","",IF($G237="Alta",3,IF($G237="Media",2,1))*10+COUNTIF($H237:$J237,"Sí"))</f>
        <v/>
      </c>
      <c r="L237" s="8" t="str">
        <f aca="false">IF($K237="","",COUNTIFS($B$5:$B$304,$B237,$K$5:$K$304,"&gt;"&amp;$K237)+1)</f>
        <v/>
      </c>
      <c r="M237" s="8" t="str">
        <f aca="false">IF($L237="","",IF($L237&lt;=25,"Sí","No"))</f>
        <v/>
      </c>
      <c r="N237" s="13"/>
    </row>
    <row r="238" customFormat="false" ht="15" hidden="false" customHeight="false" outlineLevel="0" collapsed="false">
      <c r="A238" s="13"/>
      <c r="B238" s="13"/>
      <c r="C238" s="13"/>
      <c r="D238" s="13"/>
      <c r="E238" s="8" t="str">
        <f aca="false">IF($D238="","",IFERROR(INDEX(Catálogo!$B$2:$B$200,MATCH($D238,Catálogo!$A$2:$A$200,0)),"ID no existe"))</f>
        <v/>
      </c>
      <c r="F238" s="8" t="str">
        <f aca="false">IF($D238="","",IFERROR(INDEX(Catálogo!$C$2:$C$200,MATCH($D238,Catálogo!$A$2:$A$200,0)),""))</f>
        <v/>
      </c>
      <c r="G238" s="8" t="str">
        <f aca="false">IF($D238="","",IFERROR(INDEX(Catálogo!$P$2:$P$200,MATCH($D238,Catálogo!$A$2:$A$200,0)),""))</f>
        <v/>
      </c>
      <c r="H238" s="13"/>
      <c r="I238" s="13"/>
      <c r="J238" s="13"/>
      <c r="K238" s="8" t="str">
        <f aca="false">IF($G238="","",IF($G238="Alta",3,IF($G238="Media",2,1))*10+COUNTIF($H238:$J238,"Sí"))</f>
        <v/>
      </c>
      <c r="L238" s="8" t="str">
        <f aca="false">IF($K238="","",COUNTIFS($B$5:$B$304,$B238,$K$5:$K$304,"&gt;"&amp;$K238)+1)</f>
        <v/>
      </c>
      <c r="M238" s="8" t="str">
        <f aca="false">IF($L238="","",IF($L238&lt;=25,"Sí","No"))</f>
        <v/>
      </c>
      <c r="N238" s="13"/>
    </row>
    <row r="239" customFormat="false" ht="15" hidden="false" customHeight="false" outlineLevel="0" collapsed="false">
      <c r="A239" s="13"/>
      <c r="B239" s="13"/>
      <c r="C239" s="13"/>
      <c r="D239" s="13"/>
      <c r="E239" s="8" t="str">
        <f aca="false">IF($D239="","",IFERROR(INDEX(Catálogo!$B$2:$B$200,MATCH($D239,Catálogo!$A$2:$A$200,0)),"ID no existe"))</f>
        <v/>
      </c>
      <c r="F239" s="8" t="str">
        <f aca="false">IF($D239="","",IFERROR(INDEX(Catálogo!$C$2:$C$200,MATCH($D239,Catálogo!$A$2:$A$200,0)),""))</f>
        <v/>
      </c>
      <c r="G239" s="8" t="str">
        <f aca="false">IF($D239="","",IFERROR(INDEX(Catálogo!$P$2:$P$200,MATCH($D239,Catálogo!$A$2:$A$200,0)),""))</f>
        <v/>
      </c>
      <c r="H239" s="13"/>
      <c r="I239" s="13"/>
      <c r="J239" s="13"/>
      <c r="K239" s="8" t="str">
        <f aca="false">IF($G239="","",IF($G239="Alta",3,IF($G239="Media",2,1))*10+COUNTIF($H239:$J239,"Sí"))</f>
        <v/>
      </c>
      <c r="L239" s="8" t="str">
        <f aca="false">IF($K239="","",COUNTIFS($B$5:$B$304,$B239,$K$5:$K$304,"&gt;"&amp;$K239)+1)</f>
        <v/>
      </c>
      <c r="M239" s="8" t="str">
        <f aca="false">IF($L239="","",IF($L239&lt;=25,"Sí","No"))</f>
        <v/>
      </c>
      <c r="N239" s="13"/>
    </row>
    <row r="240" customFormat="false" ht="15" hidden="false" customHeight="false" outlineLevel="0" collapsed="false">
      <c r="A240" s="13"/>
      <c r="B240" s="13"/>
      <c r="C240" s="13"/>
      <c r="D240" s="13"/>
      <c r="E240" s="8" t="str">
        <f aca="false">IF($D240="","",IFERROR(INDEX(Catálogo!$B$2:$B$200,MATCH($D240,Catálogo!$A$2:$A$200,0)),"ID no existe"))</f>
        <v/>
      </c>
      <c r="F240" s="8" t="str">
        <f aca="false">IF($D240="","",IFERROR(INDEX(Catálogo!$C$2:$C$200,MATCH($D240,Catálogo!$A$2:$A$200,0)),""))</f>
        <v/>
      </c>
      <c r="G240" s="8" t="str">
        <f aca="false">IF($D240="","",IFERROR(INDEX(Catálogo!$P$2:$P$200,MATCH($D240,Catálogo!$A$2:$A$200,0)),""))</f>
        <v/>
      </c>
      <c r="H240" s="13"/>
      <c r="I240" s="13"/>
      <c r="J240" s="13"/>
      <c r="K240" s="8" t="str">
        <f aca="false">IF($G240="","",IF($G240="Alta",3,IF($G240="Media",2,1))*10+COUNTIF($H240:$J240,"Sí"))</f>
        <v/>
      </c>
      <c r="L240" s="8" t="str">
        <f aca="false">IF($K240="","",COUNTIFS($B$5:$B$304,$B240,$K$5:$K$304,"&gt;"&amp;$K240)+1)</f>
        <v/>
      </c>
      <c r="M240" s="8" t="str">
        <f aca="false">IF($L240="","",IF($L240&lt;=25,"Sí","No"))</f>
        <v/>
      </c>
      <c r="N240" s="13"/>
    </row>
    <row r="241" customFormat="false" ht="15" hidden="false" customHeight="false" outlineLevel="0" collapsed="false">
      <c r="A241" s="13"/>
      <c r="B241" s="13"/>
      <c r="C241" s="13"/>
      <c r="D241" s="13"/>
      <c r="E241" s="8" t="str">
        <f aca="false">IF($D241="","",IFERROR(INDEX(Catálogo!$B$2:$B$200,MATCH($D241,Catálogo!$A$2:$A$200,0)),"ID no existe"))</f>
        <v/>
      </c>
      <c r="F241" s="8" t="str">
        <f aca="false">IF($D241="","",IFERROR(INDEX(Catálogo!$C$2:$C$200,MATCH($D241,Catálogo!$A$2:$A$200,0)),""))</f>
        <v/>
      </c>
      <c r="G241" s="8" t="str">
        <f aca="false">IF($D241="","",IFERROR(INDEX(Catálogo!$P$2:$P$200,MATCH($D241,Catálogo!$A$2:$A$200,0)),""))</f>
        <v/>
      </c>
      <c r="H241" s="13"/>
      <c r="I241" s="13"/>
      <c r="J241" s="13"/>
      <c r="K241" s="8" t="str">
        <f aca="false">IF($G241="","",IF($G241="Alta",3,IF($G241="Media",2,1))*10+COUNTIF($H241:$J241,"Sí"))</f>
        <v/>
      </c>
      <c r="L241" s="8" t="str">
        <f aca="false">IF($K241="","",COUNTIFS($B$5:$B$304,$B241,$K$5:$K$304,"&gt;"&amp;$K241)+1)</f>
        <v/>
      </c>
      <c r="M241" s="8" t="str">
        <f aca="false">IF($L241="","",IF($L241&lt;=25,"Sí","No"))</f>
        <v/>
      </c>
      <c r="N241" s="13"/>
    </row>
    <row r="242" customFormat="false" ht="15" hidden="false" customHeight="false" outlineLevel="0" collapsed="false">
      <c r="A242" s="13"/>
      <c r="B242" s="13"/>
      <c r="C242" s="13"/>
      <c r="D242" s="13"/>
      <c r="E242" s="8" t="str">
        <f aca="false">IF($D242="","",IFERROR(INDEX(Catálogo!$B$2:$B$200,MATCH($D242,Catálogo!$A$2:$A$200,0)),"ID no existe"))</f>
        <v/>
      </c>
      <c r="F242" s="8" t="str">
        <f aca="false">IF($D242="","",IFERROR(INDEX(Catálogo!$C$2:$C$200,MATCH($D242,Catálogo!$A$2:$A$200,0)),""))</f>
        <v/>
      </c>
      <c r="G242" s="8" t="str">
        <f aca="false">IF($D242="","",IFERROR(INDEX(Catálogo!$P$2:$P$200,MATCH($D242,Catálogo!$A$2:$A$200,0)),""))</f>
        <v/>
      </c>
      <c r="H242" s="13"/>
      <c r="I242" s="13"/>
      <c r="J242" s="13"/>
      <c r="K242" s="8" t="str">
        <f aca="false">IF($G242="","",IF($G242="Alta",3,IF($G242="Media",2,1))*10+COUNTIF($H242:$J242,"Sí"))</f>
        <v/>
      </c>
      <c r="L242" s="8" t="str">
        <f aca="false">IF($K242="","",COUNTIFS($B$5:$B$304,$B242,$K$5:$K$304,"&gt;"&amp;$K242)+1)</f>
        <v/>
      </c>
      <c r="M242" s="8" t="str">
        <f aca="false">IF($L242="","",IF($L242&lt;=25,"Sí","No"))</f>
        <v/>
      </c>
      <c r="N242" s="13"/>
    </row>
    <row r="243" customFormat="false" ht="15" hidden="false" customHeight="false" outlineLevel="0" collapsed="false">
      <c r="A243" s="13"/>
      <c r="B243" s="13"/>
      <c r="C243" s="13"/>
      <c r="D243" s="13"/>
      <c r="E243" s="8" t="str">
        <f aca="false">IF($D243="","",IFERROR(INDEX(Catálogo!$B$2:$B$200,MATCH($D243,Catálogo!$A$2:$A$200,0)),"ID no existe"))</f>
        <v/>
      </c>
      <c r="F243" s="8" t="str">
        <f aca="false">IF($D243="","",IFERROR(INDEX(Catálogo!$C$2:$C$200,MATCH($D243,Catálogo!$A$2:$A$200,0)),""))</f>
        <v/>
      </c>
      <c r="G243" s="8" t="str">
        <f aca="false">IF($D243="","",IFERROR(INDEX(Catálogo!$P$2:$P$200,MATCH($D243,Catálogo!$A$2:$A$200,0)),""))</f>
        <v/>
      </c>
      <c r="H243" s="13"/>
      <c r="I243" s="13"/>
      <c r="J243" s="13"/>
      <c r="K243" s="8" t="str">
        <f aca="false">IF($G243="","",IF($G243="Alta",3,IF($G243="Media",2,1))*10+COUNTIF($H243:$J243,"Sí"))</f>
        <v/>
      </c>
      <c r="L243" s="8" t="str">
        <f aca="false">IF($K243="","",COUNTIFS($B$5:$B$304,$B243,$K$5:$K$304,"&gt;"&amp;$K243)+1)</f>
        <v/>
      </c>
      <c r="M243" s="8" t="str">
        <f aca="false">IF($L243="","",IF($L243&lt;=25,"Sí","No"))</f>
        <v/>
      </c>
      <c r="N243" s="13"/>
    </row>
    <row r="244" customFormat="false" ht="15" hidden="false" customHeight="false" outlineLevel="0" collapsed="false">
      <c r="A244" s="13"/>
      <c r="B244" s="13"/>
      <c r="C244" s="13"/>
      <c r="D244" s="13"/>
      <c r="E244" s="8" t="str">
        <f aca="false">IF($D244="","",IFERROR(INDEX(Catálogo!$B$2:$B$200,MATCH($D244,Catálogo!$A$2:$A$200,0)),"ID no existe"))</f>
        <v/>
      </c>
      <c r="F244" s="8" t="str">
        <f aca="false">IF($D244="","",IFERROR(INDEX(Catálogo!$C$2:$C$200,MATCH($D244,Catálogo!$A$2:$A$200,0)),""))</f>
        <v/>
      </c>
      <c r="G244" s="8" t="str">
        <f aca="false">IF($D244="","",IFERROR(INDEX(Catálogo!$P$2:$P$200,MATCH($D244,Catálogo!$A$2:$A$200,0)),""))</f>
        <v/>
      </c>
      <c r="H244" s="13"/>
      <c r="I244" s="13"/>
      <c r="J244" s="13"/>
      <c r="K244" s="8" t="str">
        <f aca="false">IF($G244="","",IF($G244="Alta",3,IF($G244="Media",2,1))*10+COUNTIF($H244:$J244,"Sí"))</f>
        <v/>
      </c>
      <c r="L244" s="8" t="str">
        <f aca="false">IF($K244="","",COUNTIFS($B$5:$B$304,$B244,$K$5:$K$304,"&gt;"&amp;$K244)+1)</f>
        <v/>
      </c>
      <c r="M244" s="8" t="str">
        <f aca="false">IF($L244="","",IF($L244&lt;=25,"Sí","No"))</f>
        <v/>
      </c>
      <c r="N244" s="13"/>
    </row>
    <row r="245" customFormat="false" ht="15" hidden="false" customHeight="false" outlineLevel="0" collapsed="false">
      <c r="A245" s="13"/>
      <c r="B245" s="13"/>
      <c r="C245" s="13"/>
      <c r="D245" s="13"/>
      <c r="E245" s="8" t="str">
        <f aca="false">IF($D245="","",IFERROR(INDEX(Catálogo!$B$2:$B$200,MATCH($D245,Catálogo!$A$2:$A$200,0)),"ID no existe"))</f>
        <v/>
      </c>
      <c r="F245" s="8" t="str">
        <f aca="false">IF($D245="","",IFERROR(INDEX(Catálogo!$C$2:$C$200,MATCH($D245,Catálogo!$A$2:$A$200,0)),""))</f>
        <v/>
      </c>
      <c r="G245" s="8" t="str">
        <f aca="false">IF($D245="","",IFERROR(INDEX(Catálogo!$P$2:$P$200,MATCH($D245,Catálogo!$A$2:$A$200,0)),""))</f>
        <v/>
      </c>
      <c r="H245" s="13"/>
      <c r="I245" s="13"/>
      <c r="J245" s="13"/>
      <c r="K245" s="8" t="str">
        <f aca="false">IF($G245="","",IF($G245="Alta",3,IF($G245="Media",2,1))*10+COUNTIF($H245:$J245,"Sí"))</f>
        <v/>
      </c>
      <c r="L245" s="8" t="str">
        <f aca="false">IF($K245="","",COUNTIFS($B$5:$B$304,$B245,$K$5:$K$304,"&gt;"&amp;$K245)+1)</f>
        <v/>
      </c>
      <c r="M245" s="8" t="str">
        <f aca="false">IF($L245="","",IF($L245&lt;=25,"Sí","No"))</f>
        <v/>
      </c>
      <c r="N245" s="13"/>
    </row>
    <row r="246" customFormat="false" ht="15" hidden="false" customHeight="false" outlineLevel="0" collapsed="false">
      <c r="A246" s="13"/>
      <c r="B246" s="13"/>
      <c r="C246" s="13"/>
      <c r="D246" s="13"/>
      <c r="E246" s="8" t="str">
        <f aca="false">IF($D246="","",IFERROR(INDEX(Catálogo!$B$2:$B$200,MATCH($D246,Catálogo!$A$2:$A$200,0)),"ID no existe"))</f>
        <v/>
      </c>
      <c r="F246" s="8" t="str">
        <f aca="false">IF($D246="","",IFERROR(INDEX(Catálogo!$C$2:$C$200,MATCH($D246,Catálogo!$A$2:$A$200,0)),""))</f>
        <v/>
      </c>
      <c r="G246" s="8" t="str">
        <f aca="false">IF($D246="","",IFERROR(INDEX(Catálogo!$P$2:$P$200,MATCH($D246,Catálogo!$A$2:$A$200,0)),""))</f>
        <v/>
      </c>
      <c r="H246" s="13"/>
      <c r="I246" s="13"/>
      <c r="J246" s="13"/>
      <c r="K246" s="8" t="str">
        <f aca="false">IF($G246="","",IF($G246="Alta",3,IF($G246="Media",2,1))*10+COUNTIF($H246:$J246,"Sí"))</f>
        <v/>
      </c>
      <c r="L246" s="8" t="str">
        <f aca="false">IF($K246="","",COUNTIFS($B$5:$B$304,$B246,$K$5:$K$304,"&gt;"&amp;$K246)+1)</f>
        <v/>
      </c>
      <c r="M246" s="8" t="str">
        <f aca="false">IF($L246="","",IF($L246&lt;=25,"Sí","No"))</f>
        <v/>
      </c>
      <c r="N246" s="13"/>
    </row>
    <row r="247" customFormat="false" ht="15" hidden="false" customHeight="false" outlineLevel="0" collapsed="false">
      <c r="A247" s="13"/>
      <c r="B247" s="13"/>
      <c r="C247" s="13"/>
      <c r="D247" s="13"/>
      <c r="E247" s="8" t="str">
        <f aca="false">IF($D247="","",IFERROR(INDEX(Catálogo!$B$2:$B$200,MATCH($D247,Catálogo!$A$2:$A$200,0)),"ID no existe"))</f>
        <v/>
      </c>
      <c r="F247" s="8" t="str">
        <f aca="false">IF($D247="","",IFERROR(INDEX(Catálogo!$C$2:$C$200,MATCH($D247,Catálogo!$A$2:$A$200,0)),""))</f>
        <v/>
      </c>
      <c r="G247" s="8" t="str">
        <f aca="false">IF($D247="","",IFERROR(INDEX(Catálogo!$P$2:$P$200,MATCH($D247,Catálogo!$A$2:$A$200,0)),""))</f>
        <v/>
      </c>
      <c r="H247" s="13"/>
      <c r="I247" s="13"/>
      <c r="J247" s="13"/>
      <c r="K247" s="8" t="str">
        <f aca="false">IF($G247="","",IF($G247="Alta",3,IF($G247="Media",2,1))*10+COUNTIF($H247:$J247,"Sí"))</f>
        <v/>
      </c>
      <c r="L247" s="8" t="str">
        <f aca="false">IF($K247="","",COUNTIFS($B$5:$B$304,$B247,$K$5:$K$304,"&gt;"&amp;$K247)+1)</f>
        <v/>
      </c>
      <c r="M247" s="8" t="str">
        <f aca="false">IF($L247="","",IF($L247&lt;=25,"Sí","No"))</f>
        <v/>
      </c>
      <c r="N247" s="13"/>
    </row>
    <row r="248" customFormat="false" ht="15" hidden="false" customHeight="false" outlineLevel="0" collapsed="false">
      <c r="A248" s="13"/>
      <c r="B248" s="13"/>
      <c r="C248" s="13"/>
      <c r="D248" s="13"/>
      <c r="E248" s="8" t="str">
        <f aca="false">IF($D248="","",IFERROR(INDEX(Catálogo!$B$2:$B$200,MATCH($D248,Catálogo!$A$2:$A$200,0)),"ID no existe"))</f>
        <v/>
      </c>
      <c r="F248" s="8" t="str">
        <f aca="false">IF($D248="","",IFERROR(INDEX(Catálogo!$C$2:$C$200,MATCH($D248,Catálogo!$A$2:$A$200,0)),""))</f>
        <v/>
      </c>
      <c r="G248" s="8" t="str">
        <f aca="false">IF($D248="","",IFERROR(INDEX(Catálogo!$P$2:$P$200,MATCH($D248,Catálogo!$A$2:$A$200,0)),""))</f>
        <v/>
      </c>
      <c r="H248" s="13"/>
      <c r="I248" s="13"/>
      <c r="J248" s="13"/>
      <c r="K248" s="8" t="str">
        <f aca="false">IF($G248="","",IF($G248="Alta",3,IF($G248="Media",2,1))*10+COUNTIF($H248:$J248,"Sí"))</f>
        <v/>
      </c>
      <c r="L248" s="8" t="str">
        <f aca="false">IF($K248="","",COUNTIFS($B$5:$B$304,$B248,$K$5:$K$304,"&gt;"&amp;$K248)+1)</f>
        <v/>
      </c>
      <c r="M248" s="8" t="str">
        <f aca="false">IF($L248="","",IF($L248&lt;=25,"Sí","No"))</f>
        <v/>
      </c>
      <c r="N248" s="13"/>
    </row>
    <row r="249" customFormat="false" ht="15" hidden="false" customHeight="false" outlineLevel="0" collapsed="false">
      <c r="A249" s="13"/>
      <c r="B249" s="13"/>
      <c r="C249" s="13"/>
      <c r="D249" s="13"/>
      <c r="E249" s="8" t="str">
        <f aca="false">IF($D249="","",IFERROR(INDEX(Catálogo!$B$2:$B$200,MATCH($D249,Catálogo!$A$2:$A$200,0)),"ID no existe"))</f>
        <v/>
      </c>
      <c r="F249" s="8" t="str">
        <f aca="false">IF($D249="","",IFERROR(INDEX(Catálogo!$C$2:$C$200,MATCH($D249,Catálogo!$A$2:$A$200,0)),""))</f>
        <v/>
      </c>
      <c r="G249" s="8" t="str">
        <f aca="false">IF($D249="","",IFERROR(INDEX(Catálogo!$P$2:$P$200,MATCH($D249,Catálogo!$A$2:$A$200,0)),""))</f>
        <v/>
      </c>
      <c r="H249" s="13"/>
      <c r="I249" s="13"/>
      <c r="J249" s="13"/>
      <c r="K249" s="8" t="str">
        <f aca="false">IF($G249="","",IF($G249="Alta",3,IF($G249="Media",2,1))*10+COUNTIF($H249:$J249,"Sí"))</f>
        <v/>
      </c>
      <c r="L249" s="8" t="str">
        <f aca="false">IF($K249="","",COUNTIFS($B$5:$B$304,$B249,$K$5:$K$304,"&gt;"&amp;$K249)+1)</f>
        <v/>
      </c>
      <c r="M249" s="8" t="str">
        <f aca="false">IF($L249="","",IF($L249&lt;=25,"Sí","No"))</f>
        <v/>
      </c>
      <c r="N249" s="13"/>
    </row>
    <row r="250" customFormat="false" ht="15" hidden="false" customHeight="false" outlineLevel="0" collapsed="false">
      <c r="A250" s="13"/>
      <c r="B250" s="13"/>
      <c r="C250" s="13"/>
      <c r="D250" s="13"/>
      <c r="E250" s="8" t="str">
        <f aca="false">IF($D250="","",IFERROR(INDEX(Catálogo!$B$2:$B$200,MATCH($D250,Catálogo!$A$2:$A$200,0)),"ID no existe"))</f>
        <v/>
      </c>
      <c r="F250" s="8" t="str">
        <f aca="false">IF($D250="","",IFERROR(INDEX(Catálogo!$C$2:$C$200,MATCH($D250,Catálogo!$A$2:$A$200,0)),""))</f>
        <v/>
      </c>
      <c r="G250" s="8" t="str">
        <f aca="false">IF($D250="","",IFERROR(INDEX(Catálogo!$P$2:$P$200,MATCH($D250,Catálogo!$A$2:$A$200,0)),""))</f>
        <v/>
      </c>
      <c r="H250" s="13"/>
      <c r="I250" s="13"/>
      <c r="J250" s="13"/>
      <c r="K250" s="8" t="str">
        <f aca="false">IF($G250="","",IF($G250="Alta",3,IF($G250="Media",2,1))*10+COUNTIF($H250:$J250,"Sí"))</f>
        <v/>
      </c>
      <c r="L250" s="8" t="str">
        <f aca="false">IF($K250="","",COUNTIFS($B$5:$B$304,$B250,$K$5:$K$304,"&gt;"&amp;$K250)+1)</f>
        <v/>
      </c>
      <c r="M250" s="8" t="str">
        <f aca="false">IF($L250="","",IF($L250&lt;=25,"Sí","No"))</f>
        <v/>
      </c>
      <c r="N250" s="13"/>
    </row>
    <row r="251" customFormat="false" ht="15" hidden="false" customHeight="false" outlineLevel="0" collapsed="false">
      <c r="A251" s="13"/>
      <c r="B251" s="13"/>
      <c r="C251" s="13"/>
      <c r="D251" s="13"/>
      <c r="E251" s="8" t="str">
        <f aca="false">IF($D251="","",IFERROR(INDEX(Catálogo!$B$2:$B$200,MATCH($D251,Catálogo!$A$2:$A$200,0)),"ID no existe"))</f>
        <v/>
      </c>
      <c r="F251" s="8" t="str">
        <f aca="false">IF($D251="","",IFERROR(INDEX(Catálogo!$C$2:$C$200,MATCH($D251,Catálogo!$A$2:$A$200,0)),""))</f>
        <v/>
      </c>
      <c r="G251" s="8" t="str">
        <f aca="false">IF($D251="","",IFERROR(INDEX(Catálogo!$P$2:$P$200,MATCH($D251,Catálogo!$A$2:$A$200,0)),""))</f>
        <v/>
      </c>
      <c r="H251" s="13"/>
      <c r="I251" s="13"/>
      <c r="J251" s="13"/>
      <c r="K251" s="8" t="str">
        <f aca="false">IF($G251="","",IF($G251="Alta",3,IF($G251="Media",2,1))*10+COUNTIF($H251:$J251,"Sí"))</f>
        <v/>
      </c>
      <c r="L251" s="8" t="str">
        <f aca="false">IF($K251="","",COUNTIFS($B$5:$B$304,$B251,$K$5:$K$304,"&gt;"&amp;$K251)+1)</f>
        <v/>
      </c>
      <c r="M251" s="8" t="str">
        <f aca="false">IF($L251="","",IF($L251&lt;=25,"Sí","No"))</f>
        <v/>
      </c>
      <c r="N251" s="13"/>
    </row>
    <row r="252" customFormat="false" ht="15" hidden="false" customHeight="false" outlineLevel="0" collapsed="false">
      <c r="A252" s="13"/>
      <c r="B252" s="13"/>
      <c r="C252" s="13"/>
      <c r="D252" s="13"/>
      <c r="E252" s="8" t="str">
        <f aca="false">IF($D252="","",IFERROR(INDEX(Catálogo!$B$2:$B$200,MATCH($D252,Catálogo!$A$2:$A$200,0)),"ID no existe"))</f>
        <v/>
      </c>
      <c r="F252" s="8" t="str">
        <f aca="false">IF($D252="","",IFERROR(INDEX(Catálogo!$C$2:$C$200,MATCH($D252,Catálogo!$A$2:$A$200,0)),""))</f>
        <v/>
      </c>
      <c r="G252" s="8" t="str">
        <f aca="false">IF($D252="","",IFERROR(INDEX(Catálogo!$P$2:$P$200,MATCH($D252,Catálogo!$A$2:$A$200,0)),""))</f>
        <v/>
      </c>
      <c r="H252" s="13"/>
      <c r="I252" s="13"/>
      <c r="J252" s="13"/>
      <c r="K252" s="8" t="str">
        <f aca="false">IF($G252="","",IF($G252="Alta",3,IF($G252="Media",2,1))*10+COUNTIF($H252:$J252,"Sí"))</f>
        <v/>
      </c>
      <c r="L252" s="8" t="str">
        <f aca="false">IF($K252="","",COUNTIFS($B$5:$B$304,$B252,$K$5:$K$304,"&gt;"&amp;$K252)+1)</f>
        <v/>
      </c>
      <c r="M252" s="8" t="str">
        <f aca="false">IF($L252="","",IF($L252&lt;=25,"Sí","No"))</f>
        <v/>
      </c>
      <c r="N252" s="13"/>
    </row>
    <row r="253" customFormat="false" ht="15" hidden="false" customHeight="false" outlineLevel="0" collapsed="false">
      <c r="A253" s="13"/>
      <c r="B253" s="13"/>
      <c r="C253" s="13"/>
      <c r="D253" s="13"/>
      <c r="E253" s="8" t="str">
        <f aca="false">IF($D253="","",IFERROR(INDEX(Catálogo!$B$2:$B$200,MATCH($D253,Catálogo!$A$2:$A$200,0)),"ID no existe"))</f>
        <v/>
      </c>
      <c r="F253" s="8" t="str">
        <f aca="false">IF($D253="","",IFERROR(INDEX(Catálogo!$C$2:$C$200,MATCH($D253,Catálogo!$A$2:$A$200,0)),""))</f>
        <v/>
      </c>
      <c r="G253" s="8" t="str">
        <f aca="false">IF($D253="","",IFERROR(INDEX(Catálogo!$P$2:$P$200,MATCH($D253,Catálogo!$A$2:$A$200,0)),""))</f>
        <v/>
      </c>
      <c r="H253" s="13"/>
      <c r="I253" s="13"/>
      <c r="J253" s="13"/>
      <c r="K253" s="8" t="str">
        <f aca="false">IF($G253="","",IF($G253="Alta",3,IF($G253="Media",2,1))*10+COUNTIF($H253:$J253,"Sí"))</f>
        <v/>
      </c>
      <c r="L253" s="8" t="str">
        <f aca="false">IF($K253="","",COUNTIFS($B$5:$B$304,$B253,$K$5:$K$304,"&gt;"&amp;$K253)+1)</f>
        <v/>
      </c>
      <c r="M253" s="8" t="str">
        <f aca="false">IF($L253="","",IF($L253&lt;=25,"Sí","No"))</f>
        <v/>
      </c>
      <c r="N253" s="13"/>
    </row>
    <row r="254" customFormat="false" ht="15" hidden="false" customHeight="false" outlineLevel="0" collapsed="false">
      <c r="A254" s="13"/>
      <c r="B254" s="13"/>
      <c r="C254" s="13"/>
      <c r="D254" s="13"/>
      <c r="E254" s="8" t="str">
        <f aca="false">IF($D254="","",IFERROR(INDEX(Catálogo!$B$2:$B$200,MATCH($D254,Catálogo!$A$2:$A$200,0)),"ID no existe"))</f>
        <v/>
      </c>
      <c r="F254" s="8" t="str">
        <f aca="false">IF($D254="","",IFERROR(INDEX(Catálogo!$C$2:$C$200,MATCH($D254,Catálogo!$A$2:$A$200,0)),""))</f>
        <v/>
      </c>
      <c r="G254" s="8" t="str">
        <f aca="false">IF($D254="","",IFERROR(INDEX(Catálogo!$P$2:$P$200,MATCH($D254,Catálogo!$A$2:$A$200,0)),""))</f>
        <v/>
      </c>
      <c r="H254" s="13"/>
      <c r="I254" s="13"/>
      <c r="J254" s="13"/>
      <c r="K254" s="8" t="str">
        <f aca="false">IF($G254="","",IF($G254="Alta",3,IF($G254="Media",2,1))*10+COUNTIF($H254:$J254,"Sí"))</f>
        <v/>
      </c>
      <c r="L254" s="8" t="str">
        <f aca="false">IF($K254="","",COUNTIFS($B$5:$B$304,$B254,$K$5:$K$304,"&gt;"&amp;$K254)+1)</f>
        <v/>
      </c>
      <c r="M254" s="8" t="str">
        <f aca="false">IF($L254="","",IF($L254&lt;=25,"Sí","No"))</f>
        <v/>
      </c>
      <c r="N254" s="13"/>
    </row>
    <row r="255" customFormat="false" ht="15" hidden="false" customHeight="false" outlineLevel="0" collapsed="false">
      <c r="A255" s="13"/>
      <c r="B255" s="13"/>
      <c r="C255" s="13"/>
      <c r="D255" s="13"/>
      <c r="E255" s="8" t="str">
        <f aca="false">IF($D255="","",IFERROR(INDEX(Catálogo!$B$2:$B$200,MATCH($D255,Catálogo!$A$2:$A$200,0)),"ID no existe"))</f>
        <v/>
      </c>
      <c r="F255" s="8" t="str">
        <f aca="false">IF($D255="","",IFERROR(INDEX(Catálogo!$C$2:$C$200,MATCH($D255,Catálogo!$A$2:$A$200,0)),""))</f>
        <v/>
      </c>
      <c r="G255" s="8" t="str">
        <f aca="false">IF($D255="","",IFERROR(INDEX(Catálogo!$P$2:$P$200,MATCH($D255,Catálogo!$A$2:$A$200,0)),""))</f>
        <v/>
      </c>
      <c r="H255" s="13"/>
      <c r="I255" s="13"/>
      <c r="J255" s="13"/>
      <c r="K255" s="8" t="str">
        <f aca="false">IF($G255="","",IF($G255="Alta",3,IF($G255="Media",2,1))*10+COUNTIF($H255:$J255,"Sí"))</f>
        <v/>
      </c>
      <c r="L255" s="8" t="str">
        <f aca="false">IF($K255="","",COUNTIFS($B$5:$B$304,$B255,$K$5:$K$304,"&gt;"&amp;$K255)+1)</f>
        <v/>
      </c>
      <c r="M255" s="8" t="str">
        <f aca="false">IF($L255="","",IF($L255&lt;=25,"Sí","No"))</f>
        <v/>
      </c>
      <c r="N255" s="13"/>
    </row>
    <row r="256" customFormat="false" ht="15" hidden="false" customHeight="false" outlineLevel="0" collapsed="false">
      <c r="A256" s="13"/>
      <c r="B256" s="13"/>
      <c r="C256" s="13"/>
      <c r="D256" s="13"/>
      <c r="E256" s="8" t="str">
        <f aca="false">IF($D256="","",IFERROR(INDEX(Catálogo!$B$2:$B$200,MATCH($D256,Catálogo!$A$2:$A$200,0)),"ID no existe"))</f>
        <v/>
      </c>
      <c r="F256" s="8" t="str">
        <f aca="false">IF($D256="","",IFERROR(INDEX(Catálogo!$C$2:$C$200,MATCH($D256,Catálogo!$A$2:$A$200,0)),""))</f>
        <v/>
      </c>
      <c r="G256" s="8" t="str">
        <f aca="false">IF($D256="","",IFERROR(INDEX(Catálogo!$P$2:$P$200,MATCH($D256,Catálogo!$A$2:$A$200,0)),""))</f>
        <v/>
      </c>
      <c r="H256" s="13"/>
      <c r="I256" s="13"/>
      <c r="J256" s="13"/>
      <c r="K256" s="8" t="str">
        <f aca="false">IF($G256="","",IF($G256="Alta",3,IF($G256="Media",2,1))*10+COUNTIF($H256:$J256,"Sí"))</f>
        <v/>
      </c>
      <c r="L256" s="8" t="str">
        <f aca="false">IF($K256="","",COUNTIFS($B$5:$B$304,$B256,$K$5:$K$304,"&gt;"&amp;$K256)+1)</f>
        <v/>
      </c>
      <c r="M256" s="8" t="str">
        <f aca="false">IF($L256="","",IF($L256&lt;=25,"Sí","No"))</f>
        <v/>
      </c>
      <c r="N256" s="13"/>
    </row>
    <row r="257" customFormat="false" ht="15" hidden="false" customHeight="false" outlineLevel="0" collapsed="false">
      <c r="A257" s="13"/>
      <c r="B257" s="13"/>
      <c r="C257" s="13"/>
      <c r="D257" s="13"/>
      <c r="E257" s="8" t="str">
        <f aca="false">IF($D257="","",IFERROR(INDEX(Catálogo!$B$2:$B$200,MATCH($D257,Catálogo!$A$2:$A$200,0)),"ID no existe"))</f>
        <v/>
      </c>
      <c r="F257" s="8" t="str">
        <f aca="false">IF($D257="","",IFERROR(INDEX(Catálogo!$C$2:$C$200,MATCH($D257,Catálogo!$A$2:$A$200,0)),""))</f>
        <v/>
      </c>
      <c r="G257" s="8" t="str">
        <f aca="false">IF($D257="","",IFERROR(INDEX(Catálogo!$P$2:$P$200,MATCH($D257,Catálogo!$A$2:$A$200,0)),""))</f>
        <v/>
      </c>
      <c r="H257" s="13"/>
      <c r="I257" s="13"/>
      <c r="J257" s="13"/>
      <c r="K257" s="8" t="str">
        <f aca="false">IF($G257="","",IF($G257="Alta",3,IF($G257="Media",2,1))*10+COUNTIF($H257:$J257,"Sí"))</f>
        <v/>
      </c>
      <c r="L257" s="8" t="str">
        <f aca="false">IF($K257="","",COUNTIFS($B$5:$B$304,$B257,$K$5:$K$304,"&gt;"&amp;$K257)+1)</f>
        <v/>
      </c>
      <c r="M257" s="8" t="str">
        <f aca="false">IF($L257="","",IF($L257&lt;=25,"Sí","No"))</f>
        <v/>
      </c>
      <c r="N257" s="13"/>
    </row>
    <row r="258" customFormat="false" ht="15" hidden="false" customHeight="false" outlineLevel="0" collapsed="false">
      <c r="A258" s="13"/>
      <c r="B258" s="13"/>
      <c r="C258" s="13"/>
      <c r="D258" s="13"/>
      <c r="E258" s="8" t="str">
        <f aca="false">IF($D258="","",IFERROR(INDEX(Catálogo!$B$2:$B$200,MATCH($D258,Catálogo!$A$2:$A$200,0)),"ID no existe"))</f>
        <v/>
      </c>
      <c r="F258" s="8" t="str">
        <f aca="false">IF($D258="","",IFERROR(INDEX(Catálogo!$C$2:$C$200,MATCH($D258,Catálogo!$A$2:$A$200,0)),""))</f>
        <v/>
      </c>
      <c r="G258" s="8" t="str">
        <f aca="false">IF($D258="","",IFERROR(INDEX(Catálogo!$P$2:$P$200,MATCH($D258,Catálogo!$A$2:$A$200,0)),""))</f>
        <v/>
      </c>
      <c r="H258" s="13"/>
      <c r="I258" s="13"/>
      <c r="J258" s="13"/>
      <c r="K258" s="8" t="str">
        <f aca="false">IF($G258="","",IF($G258="Alta",3,IF($G258="Media",2,1))*10+COUNTIF($H258:$J258,"Sí"))</f>
        <v/>
      </c>
      <c r="L258" s="8" t="str">
        <f aca="false">IF($K258="","",COUNTIFS($B$5:$B$304,$B258,$K$5:$K$304,"&gt;"&amp;$K258)+1)</f>
        <v/>
      </c>
      <c r="M258" s="8" t="str">
        <f aca="false">IF($L258="","",IF($L258&lt;=25,"Sí","No"))</f>
        <v/>
      </c>
      <c r="N258" s="13"/>
    </row>
    <row r="259" customFormat="false" ht="15" hidden="false" customHeight="false" outlineLevel="0" collapsed="false">
      <c r="A259" s="13"/>
      <c r="B259" s="13"/>
      <c r="C259" s="13"/>
      <c r="D259" s="13"/>
      <c r="E259" s="8" t="str">
        <f aca="false">IF($D259="","",IFERROR(INDEX(Catálogo!$B$2:$B$200,MATCH($D259,Catálogo!$A$2:$A$200,0)),"ID no existe"))</f>
        <v/>
      </c>
      <c r="F259" s="8" t="str">
        <f aca="false">IF($D259="","",IFERROR(INDEX(Catálogo!$C$2:$C$200,MATCH($D259,Catálogo!$A$2:$A$200,0)),""))</f>
        <v/>
      </c>
      <c r="G259" s="8" t="str">
        <f aca="false">IF($D259="","",IFERROR(INDEX(Catálogo!$P$2:$P$200,MATCH($D259,Catálogo!$A$2:$A$200,0)),""))</f>
        <v/>
      </c>
      <c r="H259" s="13"/>
      <c r="I259" s="13"/>
      <c r="J259" s="13"/>
      <c r="K259" s="8" t="str">
        <f aca="false">IF($G259="","",IF($G259="Alta",3,IF($G259="Media",2,1))*10+COUNTIF($H259:$J259,"Sí"))</f>
        <v/>
      </c>
      <c r="L259" s="8" t="str">
        <f aca="false">IF($K259="","",COUNTIFS($B$5:$B$304,$B259,$K$5:$K$304,"&gt;"&amp;$K259)+1)</f>
        <v/>
      </c>
      <c r="M259" s="8" t="str">
        <f aca="false">IF($L259="","",IF($L259&lt;=25,"Sí","No"))</f>
        <v/>
      </c>
      <c r="N259" s="13"/>
    </row>
    <row r="260" customFormat="false" ht="15" hidden="false" customHeight="false" outlineLevel="0" collapsed="false">
      <c r="A260" s="13"/>
      <c r="B260" s="13"/>
      <c r="C260" s="13"/>
      <c r="D260" s="13"/>
      <c r="E260" s="8" t="str">
        <f aca="false">IF($D260="","",IFERROR(INDEX(Catálogo!$B$2:$B$200,MATCH($D260,Catálogo!$A$2:$A$200,0)),"ID no existe"))</f>
        <v/>
      </c>
      <c r="F260" s="8" t="str">
        <f aca="false">IF($D260="","",IFERROR(INDEX(Catálogo!$C$2:$C$200,MATCH($D260,Catálogo!$A$2:$A$200,0)),""))</f>
        <v/>
      </c>
      <c r="G260" s="8" t="str">
        <f aca="false">IF($D260="","",IFERROR(INDEX(Catálogo!$P$2:$P$200,MATCH($D260,Catálogo!$A$2:$A$200,0)),""))</f>
        <v/>
      </c>
      <c r="H260" s="13"/>
      <c r="I260" s="13"/>
      <c r="J260" s="13"/>
      <c r="K260" s="8" t="str">
        <f aca="false">IF($G260="","",IF($G260="Alta",3,IF($G260="Media",2,1))*10+COUNTIF($H260:$J260,"Sí"))</f>
        <v/>
      </c>
      <c r="L260" s="8" t="str">
        <f aca="false">IF($K260="","",COUNTIFS($B$5:$B$304,$B260,$K$5:$K$304,"&gt;"&amp;$K260)+1)</f>
        <v/>
      </c>
      <c r="M260" s="8" t="str">
        <f aca="false">IF($L260="","",IF($L260&lt;=25,"Sí","No"))</f>
        <v/>
      </c>
      <c r="N260" s="13"/>
    </row>
    <row r="261" customFormat="false" ht="15" hidden="false" customHeight="false" outlineLevel="0" collapsed="false">
      <c r="A261" s="13"/>
      <c r="B261" s="13"/>
      <c r="C261" s="13"/>
      <c r="D261" s="13"/>
      <c r="E261" s="8" t="str">
        <f aca="false">IF($D261="","",IFERROR(INDEX(Catálogo!$B$2:$B$200,MATCH($D261,Catálogo!$A$2:$A$200,0)),"ID no existe"))</f>
        <v/>
      </c>
      <c r="F261" s="8" t="str">
        <f aca="false">IF($D261="","",IFERROR(INDEX(Catálogo!$C$2:$C$200,MATCH($D261,Catálogo!$A$2:$A$200,0)),""))</f>
        <v/>
      </c>
      <c r="G261" s="8" t="str">
        <f aca="false">IF($D261="","",IFERROR(INDEX(Catálogo!$P$2:$P$200,MATCH($D261,Catálogo!$A$2:$A$200,0)),""))</f>
        <v/>
      </c>
      <c r="H261" s="13"/>
      <c r="I261" s="13"/>
      <c r="J261" s="13"/>
      <c r="K261" s="8" t="str">
        <f aca="false">IF($G261="","",IF($G261="Alta",3,IF($G261="Media",2,1))*10+COUNTIF($H261:$J261,"Sí"))</f>
        <v/>
      </c>
      <c r="L261" s="8" t="str">
        <f aca="false">IF($K261="","",COUNTIFS($B$5:$B$304,$B261,$K$5:$K$304,"&gt;"&amp;$K261)+1)</f>
        <v/>
      </c>
      <c r="M261" s="8" t="str">
        <f aca="false">IF($L261="","",IF($L261&lt;=25,"Sí","No"))</f>
        <v/>
      </c>
      <c r="N261" s="13"/>
    </row>
    <row r="262" customFormat="false" ht="15" hidden="false" customHeight="false" outlineLevel="0" collapsed="false">
      <c r="A262" s="13"/>
      <c r="B262" s="13"/>
      <c r="C262" s="13"/>
      <c r="D262" s="13"/>
      <c r="E262" s="8" t="str">
        <f aca="false">IF($D262="","",IFERROR(INDEX(Catálogo!$B$2:$B$200,MATCH($D262,Catálogo!$A$2:$A$200,0)),"ID no existe"))</f>
        <v/>
      </c>
      <c r="F262" s="8" t="str">
        <f aca="false">IF($D262="","",IFERROR(INDEX(Catálogo!$C$2:$C$200,MATCH($D262,Catálogo!$A$2:$A$200,0)),""))</f>
        <v/>
      </c>
      <c r="G262" s="8" t="str">
        <f aca="false">IF($D262="","",IFERROR(INDEX(Catálogo!$P$2:$P$200,MATCH($D262,Catálogo!$A$2:$A$200,0)),""))</f>
        <v/>
      </c>
      <c r="H262" s="13"/>
      <c r="I262" s="13"/>
      <c r="J262" s="13"/>
      <c r="K262" s="8" t="str">
        <f aca="false">IF($G262="","",IF($G262="Alta",3,IF($G262="Media",2,1))*10+COUNTIF($H262:$J262,"Sí"))</f>
        <v/>
      </c>
      <c r="L262" s="8" t="str">
        <f aca="false">IF($K262="","",COUNTIFS($B$5:$B$304,$B262,$K$5:$K$304,"&gt;"&amp;$K262)+1)</f>
        <v/>
      </c>
      <c r="M262" s="8" t="str">
        <f aca="false">IF($L262="","",IF($L262&lt;=25,"Sí","No"))</f>
        <v/>
      </c>
      <c r="N262" s="13"/>
    </row>
    <row r="263" customFormat="false" ht="15" hidden="false" customHeight="false" outlineLevel="0" collapsed="false">
      <c r="A263" s="13"/>
      <c r="B263" s="13"/>
      <c r="C263" s="13"/>
      <c r="D263" s="13"/>
      <c r="E263" s="8" t="str">
        <f aca="false">IF($D263="","",IFERROR(INDEX(Catálogo!$B$2:$B$200,MATCH($D263,Catálogo!$A$2:$A$200,0)),"ID no existe"))</f>
        <v/>
      </c>
      <c r="F263" s="8" t="str">
        <f aca="false">IF($D263="","",IFERROR(INDEX(Catálogo!$C$2:$C$200,MATCH($D263,Catálogo!$A$2:$A$200,0)),""))</f>
        <v/>
      </c>
      <c r="G263" s="8" t="str">
        <f aca="false">IF($D263="","",IFERROR(INDEX(Catálogo!$P$2:$P$200,MATCH($D263,Catálogo!$A$2:$A$200,0)),""))</f>
        <v/>
      </c>
      <c r="H263" s="13"/>
      <c r="I263" s="13"/>
      <c r="J263" s="13"/>
      <c r="K263" s="8" t="str">
        <f aca="false">IF($G263="","",IF($G263="Alta",3,IF($G263="Media",2,1))*10+COUNTIF($H263:$J263,"Sí"))</f>
        <v/>
      </c>
      <c r="L263" s="8" t="str">
        <f aca="false">IF($K263="","",COUNTIFS($B$5:$B$304,$B263,$K$5:$K$304,"&gt;"&amp;$K263)+1)</f>
        <v/>
      </c>
      <c r="M263" s="8" t="str">
        <f aca="false">IF($L263="","",IF($L263&lt;=25,"Sí","No"))</f>
        <v/>
      </c>
      <c r="N263" s="13"/>
    </row>
    <row r="264" customFormat="false" ht="15" hidden="false" customHeight="false" outlineLevel="0" collapsed="false">
      <c r="A264" s="13"/>
      <c r="B264" s="13"/>
      <c r="C264" s="13"/>
      <c r="D264" s="13"/>
      <c r="E264" s="8" t="str">
        <f aca="false">IF($D264="","",IFERROR(INDEX(Catálogo!$B$2:$B$200,MATCH($D264,Catálogo!$A$2:$A$200,0)),"ID no existe"))</f>
        <v/>
      </c>
      <c r="F264" s="8" t="str">
        <f aca="false">IF($D264="","",IFERROR(INDEX(Catálogo!$C$2:$C$200,MATCH($D264,Catálogo!$A$2:$A$200,0)),""))</f>
        <v/>
      </c>
      <c r="G264" s="8" t="str">
        <f aca="false">IF($D264="","",IFERROR(INDEX(Catálogo!$P$2:$P$200,MATCH($D264,Catálogo!$A$2:$A$200,0)),""))</f>
        <v/>
      </c>
      <c r="H264" s="13"/>
      <c r="I264" s="13"/>
      <c r="J264" s="13"/>
      <c r="K264" s="8" t="str">
        <f aca="false">IF($G264="","",IF($G264="Alta",3,IF($G264="Media",2,1))*10+COUNTIF($H264:$J264,"Sí"))</f>
        <v/>
      </c>
      <c r="L264" s="8" t="str">
        <f aca="false">IF($K264="","",COUNTIFS($B$5:$B$304,$B264,$K$5:$K$304,"&gt;"&amp;$K264)+1)</f>
        <v/>
      </c>
      <c r="M264" s="8" t="str">
        <f aca="false">IF($L264="","",IF($L264&lt;=25,"Sí","No"))</f>
        <v/>
      </c>
      <c r="N264" s="13"/>
    </row>
    <row r="265" customFormat="false" ht="15" hidden="false" customHeight="false" outlineLevel="0" collapsed="false">
      <c r="A265" s="13"/>
      <c r="B265" s="13"/>
      <c r="C265" s="13"/>
      <c r="D265" s="13"/>
      <c r="E265" s="8" t="str">
        <f aca="false">IF($D265="","",IFERROR(INDEX(Catálogo!$B$2:$B$200,MATCH($D265,Catálogo!$A$2:$A$200,0)),"ID no existe"))</f>
        <v/>
      </c>
      <c r="F265" s="8" t="str">
        <f aca="false">IF($D265="","",IFERROR(INDEX(Catálogo!$C$2:$C$200,MATCH($D265,Catálogo!$A$2:$A$200,0)),""))</f>
        <v/>
      </c>
      <c r="G265" s="8" t="str">
        <f aca="false">IF($D265="","",IFERROR(INDEX(Catálogo!$P$2:$P$200,MATCH($D265,Catálogo!$A$2:$A$200,0)),""))</f>
        <v/>
      </c>
      <c r="H265" s="13"/>
      <c r="I265" s="13"/>
      <c r="J265" s="13"/>
      <c r="K265" s="8" t="str">
        <f aca="false">IF($G265="","",IF($G265="Alta",3,IF($G265="Media",2,1))*10+COUNTIF($H265:$J265,"Sí"))</f>
        <v/>
      </c>
      <c r="L265" s="8" t="str">
        <f aca="false">IF($K265="","",COUNTIFS($B$5:$B$304,$B265,$K$5:$K$304,"&gt;"&amp;$K265)+1)</f>
        <v/>
      </c>
      <c r="M265" s="8" t="str">
        <f aca="false">IF($L265="","",IF($L265&lt;=25,"Sí","No"))</f>
        <v/>
      </c>
      <c r="N265" s="13"/>
    </row>
    <row r="266" customFormat="false" ht="15" hidden="false" customHeight="false" outlineLevel="0" collapsed="false">
      <c r="A266" s="13"/>
      <c r="B266" s="13"/>
      <c r="C266" s="13"/>
      <c r="D266" s="13"/>
      <c r="E266" s="8" t="str">
        <f aca="false">IF($D266="","",IFERROR(INDEX(Catálogo!$B$2:$B$200,MATCH($D266,Catálogo!$A$2:$A$200,0)),"ID no existe"))</f>
        <v/>
      </c>
      <c r="F266" s="8" t="str">
        <f aca="false">IF($D266="","",IFERROR(INDEX(Catálogo!$C$2:$C$200,MATCH($D266,Catálogo!$A$2:$A$200,0)),""))</f>
        <v/>
      </c>
      <c r="G266" s="8" t="str">
        <f aca="false">IF($D266="","",IFERROR(INDEX(Catálogo!$P$2:$P$200,MATCH($D266,Catálogo!$A$2:$A$200,0)),""))</f>
        <v/>
      </c>
      <c r="H266" s="13"/>
      <c r="I266" s="13"/>
      <c r="J266" s="13"/>
      <c r="K266" s="8" t="str">
        <f aca="false">IF($G266="","",IF($G266="Alta",3,IF($G266="Media",2,1))*10+COUNTIF($H266:$J266,"Sí"))</f>
        <v/>
      </c>
      <c r="L266" s="8" t="str">
        <f aca="false">IF($K266="","",COUNTIFS($B$5:$B$304,$B266,$K$5:$K$304,"&gt;"&amp;$K266)+1)</f>
        <v/>
      </c>
      <c r="M266" s="8" t="str">
        <f aca="false">IF($L266="","",IF($L266&lt;=25,"Sí","No"))</f>
        <v/>
      </c>
      <c r="N266" s="13"/>
    </row>
    <row r="267" customFormat="false" ht="15" hidden="false" customHeight="false" outlineLevel="0" collapsed="false">
      <c r="A267" s="13"/>
      <c r="B267" s="13"/>
      <c r="C267" s="13"/>
      <c r="D267" s="13"/>
      <c r="E267" s="8" t="str">
        <f aca="false">IF($D267="","",IFERROR(INDEX(Catálogo!$B$2:$B$200,MATCH($D267,Catálogo!$A$2:$A$200,0)),"ID no existe"))</f>
        <v/>
      </c>
      <c r="F267" s="8" t="str">
        <f aca="false">IF($D267="","",IFERROR(INDEX(Catálogo!$C$2:$C$200,MATCH($D267,Catálogo!$A$2:$A$200,0)),""))</f>
        <v/>
      </c>
      <c r="G267" s="8" t="str">
        <f aca="false">IF($D267="","",IFERROR(INDEX(Catálogo!$P$2:$P$200,MATCH($D267,Catálogo!$A$2:$A$200,0)),""))</f>
        <v/>
      </c>
      <c r="H267" s="13"/>
      <c r="I267" s="13"/>
      <c r="J267" s="13"/>
      <c r="K267" s="8" t="str">
        <f aca="false">IF($G267="","",IF($G267="Alta",3,IF($G267="Media",2,1))*10+COUNTIF($H267:$J267,"Sí"))</f>
        <v/>
      </c>
      <c r="L267" s="8" t="str">
        <f aca="false">IF($K267="","",COUNTIFS($B$5:$B$304,$B267,$K$5:$K$304,"&gt;"&amp;$K267)+1)</f>
        <v/>
      </c>
      <c r="M267" s="8" t="str">
        <f aca="false">IF($L267="","",IF($L267&lt;=25,"Sí","No"))</f>
        <v/>
      </c>
      <c r="N267" s="13"/>
    </row>
    <row r="268" customFormat="false" ht="15" hidden="false" customHeight="false" outlineLevel="0" collapsed="false">
      <c r="A268" s="13"/>
      <c r="B268" s="13"/>
      <c r="C268" s="13"/>
      <c r="D268" s="13"/>
      <c r="E268" s="8" t="str">
        <f aca="false">IF($D268="","",IFERROR(INDEX(Catálogo!$B$2:$B$200,MATCH($D268,Catálogo!$A$2:$A$200,0)),"ID no existe"))</f>
        <v/>
      </c>
      <c r="F268" s="8" t="str">
        <f aca="false">IF($D268="","",IFERROR(INDEX(Catálogo!$C$2:$C$200,MATCH($D268,Catálogo!$A$2:$A$200,0)),""))</f>
        <v/>
      </c>
      <c r="G268" s="8" t="str">
        <f aca="false">IF($D268="","",IFERROR(INDEX(Catálogo!$P$2:$P$200,MATCH($D268,Catálogo!$A$2:$A$200,0)),""))</f>
        <v/>
      </c>
      <c r="H268" s="13"/>
      <c r="I268" s="13"/>
      <c r="J268" s="13"/>
      <c r="K268" s="8" t="str">
        <f aca="false">IF($G268="","",IF($G268="Alta",3,IF($G268="Media",2,1))*10+COUNTIF($H268:$J268,"Sí"))</f>
        <v/>
      </c>
      <c r="L268" s="8" t="str">
        <f aca="false">IF($K268="","",COUNTIFS($B$5:$B$304,$B268,$K$5:$K$304,"&gt;"&amp;$K268)+1)</f>
        <v/>
      </c>
      <c r="M268" s="8" t="str">
        <f aca="false">IF($L268="","",IF($L268&lt;=25,"Sí","No"))</f>
        <v/>
      </c>
      <c r="N268" s="13"/>
    </row>
    <row r="269" customFormat="false" ht="15" hidden="false" customHeight="false" outlineLevel="0" collapsed="false">
      <c r="A269" s="13"/>
      <c r="B269" s="13"/>
      <c r="C269" s="13"/>
      <c r="D269" s="13"/>
      <c r="E269" s="8" t="str">
        <f aca="false">IF($D269="","",IFERROR(INDEX(Catálogo!$B$2:$B$200,MATCH($D269,Catálogo!$A$2:$A$200,0)),"ID no existe"))</f>
        <v/>
      </c>
      <c r="F269" s="8" t="str">
        <f aca="false">IF($D269="","",IFERROR(INDEX(Catálogo!$C$2:$C$200,MATCH($D269,Catálogo!$A$2:$A$200,0)),""))</f>
        <v/>
      </c>
      <c r="G269" s="8" t="str">
        <f aca="false">IF($D269="","",IFERROR(INDEX(Catálogo!$P$2:$P$200,MATCH($D269,Catálogo!$A$2:$A$200,0)),""))</f>
        <v/>
      </c>
      <c r="H269" s="13"/>
      <c r="I269" s="13"/>
      <c r="J269" s="13"/>
      <c r="K269" s="8" t="str">
        <f aca="false">IF($G269="","",IF($G269="Alta",3,IF($G269="Media",2,1))*10+COUNTIF($H269:$J269,"Sí"))</f>
        <v/>
      </c>
      <c r="L269" s="8" t="str">
        <f aca="false">IF($K269="","",COUNTIFS($B$5:$B$304,$B269,$K$5:$K$304,"&gt;"&amp;$K269)+1)</f>
        <v/>
      </c>
      <c r="M269" s="8" t="str">
        <f aca="false">IF($L269="","",IF($L269&lt;=25,"Sí","No"))</f>
        <v/>
      </c>
      <c r="N269" s="13"/>
    </row>
    <row r="270" customFormat="false" ht="15" hidden="false" customHeight="false" outlineLevel="0" collapsed="false">
      <c r="A270" s="13"/>
      <c r="B270" s="13"/>
      <c r="C270" s="13"/>
      <c r="D270" s="13"/>
      <c r="E270" s="8" t="str">
        <f aca="false">IF($D270="","",IFERROR(INDEX(Catálogo!$B$2:$B$200,MATCH($D270,Catálogo!$A$2:$A$200,0)),"ID no existe"))</f>
        <v/>
      </c>
      <c r="F270" s="8" t="str">
        <f aca="false">IF($D270="","",IFERROR(INDEX(Catálogo!$C$2:$C$200,MATCH($D270,Catálogo!$A$2:$A$200,0)),""))</f>
        <v/>
      </c>
      <c r="G270" s="8" t="str">
        <f aca="false">IF($D270="","",IFERROR(INDEX(Catálogo!$P$2:$P$200,MATCH($D270,Catálogo!$A$2:$A$200,0)),""))</f>
        <v/>
      </c>
      <c r="H270" s="13"/>
      <c r="I270" s="13"/>
      <c r="J270" s="13"/>
      <c r="K270" s="8" t="str">
        <f aca="false">IF($G270="","",IF($G270="Alta",3,IF($G270="Media",2,1))*10+COUNTIF($H270:$J270,"Sí"))</f>
        <v/>
      </c>
      <c r="L270" s="8" t="str">
        <f aca="false">IF($K270="","",COUNTIFS($B$5:$B$304,$B270,$K$5:$K$304,"&gt;"&amp;$K270)+1)</f>
        <v/>
      </c>
      <c r="M270" s="8" t="str">
        <f aca="false">IF($L270="","",IF($L270&lt;=25,"Sí","No"))</f>
        <v/>
      </c>
      <c r="N270" s="13"/>
    </row>
    <row r="271" customFormat="false" ht="15" hidden="false" customHeight="false" outlineLevel="0" collapsed="false">
      <c r="A271" s="13"/>
      <c r="B271" s="13"/>
      <c r="C271" s="13"/>
      <c r="D271" s="13"/>
      <c r="E271" s="8" t="str">
        <f aca="false">IF($D271="","",IFERROR(INDEX(Catálogo!$B$2:$B$200,MATCH($D271,Catálogo!$A$2:$A$200,0)),"ID no existe"))</f>
        <v/>
      </c>
      <c r="F271" s="8" t="str">
        <f aca="false">IF($D271="","",IFERROR(INDEX(Catálogo!$C$2:$C$200,MATCH($D271,Catálogo!$A$2:$A$200,0)),""))</f>
        <v/>
      </c>
      <c r="G271" s="8" t="str">
        <f aca="false">IF($D271="","",IFERROR(INDEX(Catálogo!$P$2:$P$200,MATCH($D271,Catálogo!$A$2:$A$200,0)),""))</f>
        <v/>
      </c>
      <c r="H271" s="13"/>
      <c r="I271" s="13"/>
      <c r="J271" s="13"/>
      <c r="K271" s="8" t="str">
        <f aca="false">IF($G271="","",IF($G271="Alta",3,IF($G271="Media",2,1))*10+COUNTIF($H271:$J271,"Sí"))</f>
        <v/>
      </c>
      <c r="L271" s="8" t="str">
        <f aca="false">IF($K271="","",COUNTIFS($B$5:$B$304,$B271,$K$5:$K$304,"&gt;"&amp;$K271)+1)</f>
        <v/>
      </c>
      <c r="M271" s="8" t="str">
        <f aca="false">IF($L271="","",IF($L271&lt;=25,"Sí","No"))</f>
        <v/>
      </c>
      <c r="N271" s="13"/>
    </row>
    <row r="272" customFormat="false" ht="15" hidden="false" customHeight="false" outlineLevel="0" collapsed="false">
      <c r="A272" s="13"/>
      <c r="B272" s="13"/>
      <c r="C272" s="13"/>
      <c r="D272" s="13"/>
      <c r="E272" s="8" t="str">
        <f aca="false">IF($D272="","",IFERROR(INDEX(Catálogo!$B$2:$B$200,MATCH($D272,Catálogo!$A$2:$A$200,0)),"ID no existe"))</f>
        <v/>
      </c>
      <c r="F272" s="8" t="str">
        <f aca="false">IF($D272="","",IFERROR(INDEX(Catálogo!$C$2:$C$200,MATCH($D272,Catálogo!$A$2:$A$200,0)),""))</f>
        <v/>
      </c>
      <c r="G272" s="8" t="str">
        <f aca="false">IF($D272="","",IFERROR(INDEX(Catálogo!$P$2:$P$200,MATCH($D272,Catálogo!$A$2:$A$200,0)),""))</f>
        <v/>
      </c>
      <c r="H272" s="13"/>
      <c r="I272" s="13"/>
      <c r="J272" s="13"/>
      <c r="K272" s="8" t="str">
        <f aca="false">IF($G272="","",IF($G272="Alta",3,IF($G272="Media",2,1))*10+COUNTIF($H272:$J272,"Sí"))</f>
        <v/>
      </c>
      <c r="L272" s="8" t="str">
        <f aca="false">IF($K272="","",COUNTIFS($B$5:$B$304,$B272,$K$5:$K$304,"&gt;"&amp;$K272)+1)</f>
        <v/>
      </c>
      <c r="M272" s="8" t="str">
        <f aca="false">IF($L272="","",IF($L272&lt;=25,"Sí","No"))</f>
        <v/>
      </c>
      <c r="N272" s="13"/>
    </row>
    <row r="273" customFormat="false" ht="15" hidden="false" customHeight="false" outlineLevel="0" collapsed="false">
      <c r="A273" s="13"/>
      <c r="B273" s="13"/>
      <c r="C273" s="13"/>
      <c r="D273" s="13"/>
      <c r="E273" s="8" t="str">
        <f aca="false">IF($D273="","",IFERROR(INDEX(Catálogo!$B$2:$B$200,MATCH($D273,Catálogo!$A$2:$A$200,0)),"ID no existe"))</f>
        <v/>
      </c>
      <c r="F273" s="8" t="str">
        <f aca="false">IF($D273="","",IFERROR(INDEX(Catálogo!$C$2:$C$200,MATCH($D273,Catálogo!$A$2:$A$200,0)),""))</f>
        <v/>
      </c>
      <c r="G273" s="8" t="str">
        <f aca="false">IF($D273="","",IFERROR(INDEX(Catálogo!$P$2:$P$200,MATCH($D273,Catálogo!$A$2:$A$200,0)),""))</f>
        <v/>
      </c>
      <c r="H273" s="13"/>
      <c r="I273" s="13"/>
      <c r="J273" s="13"/>
      <c r="K273" s="8" t="str">
        <f aca="false">IF($G273="","",IF($G273="Alta",3,IF($G273="Media",2,1))*10+COUNTIF($H273:$J273,"Sí"))</f>
        <v/>
      </c>
      <c r="L273" s="8" t="str">
        <f aca="false">IF($K273="","",COUNTIFS($B$5:$B$304,$B273,$K$5:$K$304,"&gt;"&amp;$K273)+1)</f>
        <v/>
      </c>
      <c r="M273" s="8" t="str">
        <f aca="false">IF($L273="","",IF($L273&lt;=25,"Sí","No"))</f>
        <v/>
      </c>
      <c r="N273" s="13"/>
    </row>
    <row r="274" customFormat="false" ht="15" hidden="false" customHeight="false" outlineLevel="0" collapsed="false">
      <c r="A274" s="13"/>
      <c r="B274" s="13"/>
      <c r="C274" s="13"/>
      <c r="D274" s="13"/>
      <c r="E274" s="8" t="str">
        <f aca="false">IF($D274="","",IFERROR(INDEX(Catálogo!$B$2:$B$200,MATCH($D274,Catálogo!$A$2:$A$200,0)),"ID no existe"))</f>
        <v/>
      </c>
      <c r="F274" s="8" t="str">
        <f aca="false">IF($D274="","",IFERROR(INDEX(Catálogo!$C$2:$C$200,MATCH($D274,Catálogo!$A$2:$A$200,0)),""))</f>
        <v/>
      </c>
      <c r="G274" s="8" t="str">
        <f aca="false">IF($D274="","",IFERROR(INDEX(Catálogo!$P$2:$P$200,MATCH($D274,Catálogo!$A$2:$A$200,0)),""))</f>
        <v/>
      </c>
      <c r="H274" s="13"/>
      <c r="I274" s="13"/>
      <c r="J274" s="13"/>
      <c r="K274" s="8" t="str">
        <f aca="false">IF($G274="","",IF($G274="Alta",3,IF($G274="Media",2,1))*10+COUNTIF($H274:$J274,"Sí"))</f>
        <v/>
      </c>
      <c r="L274" s="8" t="str">
        <f aca="false">IF($K274="","",COUNTIFS($B$5:$B$304,$B274,$K$5:$K$304,"&gt;"&amp;$K274)+1)</f>
        <v/>
      </c>
      <c r="M274" s="8" t="str">
        <f aca="false">IF($L274="","",IF($L274&lt;=25,"Sí","No"))</f>
        <v/>
      </c>
      <c r="N274" s="13"/>
    </row>
    <row r="275" customFormat="false" ht="15" hidden="false" customHeight="false" outlineLevel="0" collapsed="false">
      <c r="A275" s="13"/>
      <c r="B275" s="13"/>
      <c r="C275" s="13"/>
      <c r="D275" s="13"/>
      <c r="E275" s="8" t="str">
        <f aca="false">IF($D275="","",IFERROR(INDEX(Catálogo!$B$2:$B$200,MATCH($D275,Catálogo!$A$2:$A$200,0)),"ID no existe"))</f>
        <v/>
      </c>
      <c r="F275" s="8" t="str">
        <f aca="false">IF($D275="","",IFERROR(INDEX(Catálogo!$C$2:$C$200,MATCH($D275,Catálogo!$A$2:$A$200,0)),""))</f>
        <v/>
      </c>
      <c r="G275" s="8" t="str">
        <f aca="false">IF($D275="","",IFERROR(INDEX(Catálogo!$P$2:$P$200,MATCH($D275,Catálogo!$A$2:$A$200,0)),""))</f>
        <v/>
      </c>
      <c r="H275" s="13"/>
      <c r="I275" s="13"/>
      <c r="J275" s="13"/>
      <c r="K275" s="8" t="str">
        <f aca="false">IF($G275="","",IF($G275="Alta",3,IF($G275="Media",2,1))*10+COUNTIF($H275:$J275,"Sí"))</f>
        <v/>
      </c>
      <c r="L275" s="8" t="str">
        <f aca="false">IF($K275="","",COUNTIFS($B$5:$B$304,$B275,$K$5:$K$304,"&gt;"&amp;$K275)+1)</f>
        <v/>
      </c>
      <c r="M275" s="8" t="str">
        <f aca="false">IF($L275="","",IF($L275&lt;=25,"Sí","No"))</f>
        <v/>
      </c>
      <c r="N275" s="13"/>
    </row>
    <row r="276" customFormat="false" ht="15" hidden="false" customHeight="false" outlineLevel="0" collapsed="false">
      <c r="A276" s="13"/>
      <c r="B276" s="13"/>
      <c r="C276" s="13"/>
      <c r="D276" s="13"/>
      <c r="E276" s="8" t="str">
        <f aca="false">IF($D276="","",IFERROR(INDEX(Catálogo!$B$2:$B$200,MATCH($D276,Catálogo!$A$2:$A$200,0)),"ID no existe"))</f>
        <v/>
      </c>
      <c r="F276" s="8" t="str">
        <f aca="false">IF($D276="","",IFERROR(INDEX(Catálogo!$C$2:$C$200,MATCH($D276,Catálogo!$A$2:$A$200,0)),""))</f>
        <v/>
      </c>
      <c r="G276" s="8" t="str">
        <f aca="false">IF($D276="","",IFERROR(INDEX(Catálogo!$P$2:$P$200,MATCH($D276,Catálogo!$A$2:$A$200,0)),""))</f>
        <v/>
      </c>
      <c r="H276" s="13"/>
      <c r="I276" s="13"/>
      <c r="J276" s="13"/>
      <c r="K276" s="8" t="str">
        <f aca="false">IF($G276="","",IF($G276="Alta",3,IF($G276="Media",2,1))*10+COUNTIF($H276:$J276,"Sí"))</f>
        <v/>
      </c>
      <c r="L276" s="8" t="str">
        <f aca="false">IF($K276="","",COUNTIFS($B$5:$B$304,$B276,$K$5:$K$304,"&gt;"&amp;$K276)+1)</f>
        <v/>
      </c>
      <c r="M276" s="8" t="str">
        <f aca="false">IF($L276="","",IF($L276&lt;=25,"Sí","No"))</f>
        <v/>
      </c>
      <c r="N276" s="13"/>
    </row>
    <row r="277" customFormat="false" ht="15" hidden="false" customHeight="false" outlineLevel="0" collapsed="false">
      <c r="A277" s="13"/>
      <c r="B277" s="13"/>
      <c r="C277" s="13"/>
      <c r="D277" s="13"/>
      <c r="E277" s="8" t="str">
        <f aca="false">IF($D277="","",IFERROR(INDEX(Catálogo!$B$2:$B$200,MATCH($D277,Catálogo!$A$2:$A$200,0)),"ID no existe"))</f>
        <v/>
      </c>
      <c r="F277" s="8" t="str">
        <f aca="false">IF($D277="","",IFERROR(INDEX(Catálogo!$C$2:$C$200,MATCH($D277,Catálogo!$A$2:$A$200,0)),""))</f>
        <v/>
      </c>
      <c r="G277" s="8" t="str">
        <f aca="false">IF($D277="","",IFERROR(INDEX(Catálogo!$P$2:$P$200,MATCH($D277,Catálogo!$A$2:$A$200,0)),""))</f>
        <v/>
      </c>
      <c r="H277" s="13"/>
      <c r="I277" s="13"/>
      <c r="J277" s="13"/>
      <c r="K277" s="8" t="str">
        <f aca="false">IF($G277="","",IF($G277="Alta",3,IF($G277="Media",2,1))*10+COUNTIF($H277:$J277,"Sí"))</f>
        <v/>
      </c>
      <c r="L277" s="8" t="str">
        <f aca="false">IF($K277="","",COUNTIFS($B$5:$B$304,$B277,$K$5:$K$304,"&gt;"&amp;$K277)+1)</f>
        <v/>
      </c>
      <c r="M277" s="8" t="str">
        <f aca="false">IF($L277="","",IF($L277&lt;=25,"Sí","No"))</f>
        <v/>
      </c>
      <c r="N277" s="13"/>
    </row>
    <row r="278" customFormat="false" ht="15" hidden="false" customHeight="false" outlineLevel="0" collapsed="false">
      <c r="A278" s="13"/>
      <c r="B278" s="13"/>
      <c r="C278" s="13"/>
      <c r="D278" s="13"/>
      <c r="E278" s="8" t="str">
        <f aca="false">IF($D278="","",IFERROR(INDEX(Catálogo!$B$2:$B$200,MATCH($D278,Catálogo!$A$2:$A$200,0)),"ID no existe"))</f>
        <v/>
      </c>
      <c r="F278" s="8" t="str">
        <f aca="false">IF($D278="","",IFERROR(INDEX(Catálogo!$C$2:$C$200,MATCH($D278,Catálogo!$A$2:$A$200,0)),""))</f>
        <v/>
      </c>
      <c r="G278" s="8" t="str">
        <f aca="false">IF($D278="","",IFERROR(INDEX(Catálogo!$P$2:$P$200,MATCH($D278,Catálogo!$A$2:$A$200,0)),""))</f>
        <v/>
      </c>
      <c r="H278" s="13"/>
      <c r="I278" s="13"/>
      <c r="J278" s="13"/>
      <c r="K278" s="8" t="str">
        <f aca="false">IF($G278="","",IF($G278="Alta",3,IF($G278="Media",2,1))*10+COUNTIF($H278:$J278,"Sí"))</f>
        <v/>
      </c>
      <c r="L278" s="8" t="str">
        <f aca="false">IF($K278="","",COUNTIFS($B$5:$B$304,$B278,$K$5:$K$304,"&gt;"&amp;$K278)+1)</f>
        <v/>
      </c>
      <c r="M278" s="8" t="str">
        <f aca="false">IF($L278="","",IF($L278&lt;=25,"Sí","No"))</f>
        <v/>
      </c>
      <c r="N278" s="13"/>
    </row>
    <row r="279" customFormat="false" ht="15" hidden="false" customHeight="false" outlineLevel="0" collapsed="false">
      <c r="A279" s="13"/>
      <c r="B279" s="13"/>
      <c r="C279" s="13"/>
      <c r="D279" s="13"/>
      <c r="E279" s="8" t="str">
        <f aca="false">IF($D279="","",IFERROR(INDEX(Catálogo!$B$2:$B$200,MATCH($D279,Catálogo!$A$2:$A$200,0)),"ID no existe"))</f>
        <v/>
      </c>
      <c r="F279" s="8" t="str">
        <f aca="false">IF($D279="","",IFERROR(INDEX(Catálogo!$C$2:$C$200,MATCH($D279,Catálogo!$A$2:$A$200,0)),""))</f>
        <v/>
      </c>
      <c r="G279" s="8" t="str">
        <f aca="false">IF($D279="","",IFERROR(INDEX(Catálogo!$P$2:$P$200,MATCH($D279,Catálogo!$A$2:$A$200,0)),""))</f>
        <v/>
      </c>
      <c r="H279" s="13"/>
      <c r="I279" s="13"/>
      <c r="J279" s="13"/>
      <c r="K279" s="8" t="str">
        <f aca="false">IF($G279="","",IF($G279="Alta",3,IF($G279="Media",2,1))*10+COUNTIF($H279:$J279,"Sí"))</f>
        <v/>
      </c>
      <c r="L279" s="8" t="str">
        <f aca="false">IF($K279="","",COUNTIFS($B$5:$B$304,$B279,$K$5:$K$304,"&gt;"&amp;$K279)+1)</f>
        <v/>
      </c>
      <c r="M279" s="8" t="str">
        <f aca="false">IF($L279="","",IF($L279&lt;=25,"Sí","No"))</f>
        <v/>
      </c>
      <c r="N279" s="13"/>
    </row>
    <row r="280" customFormat="false" ht="15" hidden="false" customHeight="false" outlineLevel="0" collapsed="false">
      <c r="A280" s="13"/>
      <c r="B280" s="13"/>
      <c r="C280" s="13"/>
      <c r="D280" s="13"/>
      <c r="E280" s="8" t="str">
        <f aca="false">IF($D280="","",IFERROR(INDEX(Catálogo!$B$2:$B$200,MATCH($D280,Catálogo!$A$2:$A$200,0)),"ID no existe"))</f>
        <v/>
      </c>
      <c r="F280" s="8" t="str">
        <f aca="false">IF($D280="","",IFERROR(INDEX(Catálogo!$C$2:$C$200,MATCH($D280,Catálogo!$A$2:$A$200,0)),""))</f>
        <v/>
      </c>
      <c r="G280" s="8" t="str">
        <f aca="false">IF($D280="","",IFERROR(INDEX(Catálogo!$P$2:$P$200,MATCH($D280,Catálogo!$A$2:$A$200,0)),""))</f>
        <v/>
      </c>
      <c r="H280" s="13"/>
      <c r="I280" s="13"/>
      <c r="J280" s="13"/>
      <c r="K280" s="8" t="str">
        <f aca="false">IF($G280="","",IF($G280="Alta",3,IF($G280="Media",2,1))*10+COUNTIF($H280:$J280,"Sí"))</f>
        <v/>
      </c>
      <c r="L280" s="8" t="str">
        <f aca="false">IF($K280="","",COUNTIFS($B$5:$B$304,$B280,$K$5:$K$304,"&gt;"&amp;$K280)+1)</f>
        <v/>
      </c>
      <c r="M280" s="8" t="str">
        <f aca="false">IF($L280="","",IF($L280&lt;=25,"Sí","No"))</f>
        <v/>
      </c>
      <c r="N280" s="13"/>
    </row>
    <row r="281" customFormat="false" ht="15" hidden="false" customHeight="false" outlineLevel="0" collapsed="false">
      <c r="A281" s="13"/>
      <c r="B281" s="13"/>
      <c r="C281" s="13"/>
      <c r="D281" s="13"/>
      <c r="E281" s="8" t="str">
        <f aca="false">IF($D281="","",IFERROR(INDEX(Catálogo!$B$2:$B$200,MATCH($D281,Catálogo!$A$2:$A$200,0)),"ID no existe"))</f>
        <v/>
      </c>
      <c r="F281" s="8" t="str">
        <f aca="false">IF($D281="","",IFERROR(INDEX(Catálogo!$C$2:$C$200,MATCH($D281,Catálogo!$A$2:$A$200,0)),""))</f>
        <v/>
      </c>
      <c r="G281" s="8" t="str">
        <f aca="false">IF($D281="","",IFERROR(INDEX(Catálogo!$P$2:$P$200,MATCH($D281,Catálogo!$A$2:$A$200,0)),""))</f>
        <v/>
      </c>
      <c r="H281" s="13"/>
      <c r="I281" s="13"/>
      <c r="J281" s="13"/>
      <c r="K281" s="8" t="str">
        <f aca="false">IF($G281="","",IF($G281="Alta",3,IF($G281="Media",2,1))*10+COUNTIF($H281:$J281,"Sí"))</f>
        <v/>
      </c>
      <c r="L281" s="8" t="str">
        <f aca="false">IF($K281="","",COUNTIFS($B$5:$B$304,$B281,$K$5:$K$304,"&gt;"&amp;$K281)+1)</f>
        <v/>
      </c>
      <c r="M281" s="8" t="str">
        <f aca="false">IF($L281="","",IF($L281&lt;=25,"Sí","No"))</f>
        <v/>
      </c>
      <c r="N281" s="13"/>
    </row>
    <row r="282" customFormat="false" ht="15" hidden="false" customHeight="false" outlineLevel="0" collapsed="false">
      <c r="A282" s="13"/>
      <c r="B282" s="13"/>
      <c r="C282" s="13"/>
      <c r="D282" s="13"/>
      <c r="E282" s="8" t="str">
        <f aca="false">IF($D282="","",IFERROR(INDEX(Catálogo!$B$2:$B$200,MATCH($D282,Catálogo!$A$2:$A$200,0)),"ID no existe"))</f>
        <v/>
      </c>
      <c r="F282" s="8" t="str">
        <f aca="false">IF($D282="","",IFERROR(INDEX(Catálogo!$C$2:$C$200,MATCH($D282,Catálogo!$A$2:$A$200,0)),""))</f>
        <v/>
      </c>
      <c r="G282" s="8" t="str">
        <f aca="false">IF($D282="","",IFERROR(INDEX(Catálogo!$P$2:$P$200,MATCH($D282,Catálogo!$A$2:$A$200,0)),""))</f>
        <v/>
      </c>
      <c r="H282" s="13"/>
      <c r="I282" s="13"/>
      <c r="J282" s="13"/>
      <c r="K282" s="8" t="str">
        <f aca="false">IF($G282="","",IF($G282="Alta",3,IF($G282="Media",2,1))*10+COUNTIF($H282:$J282,"Sí"))</f>
        <v/>
      </c>
      <c r="L282" s="8" t="str">
        <f aca="false">IF($K282="","",COUNTIFS($B$5:$B$304,$B282,$K$5:$K$304,"&gt;"&amp;$K282)+1)</f>
        <v/>
      </c>
      <c r="M282" s="8" t="str">
        <f aca="false">IF($L282="","",IF($L282&lt;=25,"Sí","No"))</f>
        <v/>
      </c>
      <c r="N282" s="13"/>
    </row>
    <row r="283" customFormat="false" ht="15" hidden="false" customHeight="false" outlineLevel="0" collapsed="false">
      <c r="A283" s="13"/>
      <c r="B283" s="13"/>
      <c r="C283" s="13"/>
      <c r="D283" s="13"/>
      <c r="E283" s="8" t="str">
        <f aca="false">IF($D283="","",IFERROR(INDEX(Catálogo!$B$2:$B$200,MATCH($D283,Catálogo!$A$2:$A$200,0)),"ID no existe"))</f>
        <v/>
      </c>
      <c r="F283" s="8" t="str">
        <f aca="false">IF($D283="","",IFERROR(INDEX(Catálogo!$C$2:$C$200,MATCH($D283,Catálogo!$A$2:$A$200,0)),""))</f>
        <v/>
      </c>
      <c r="G283" s="8" t="str">
        <f aca="false">IF($D283="","",IFERROR(INDEX(Catálogo!$P$2:$P$200,MATCH($D283,Catálogo!$A$2:$A$200,0)),""))</f>
        <v/>
      </c>
      <c r="H283" s="13"/>
      <c r="I283" s="13"/>
      <c r="J283" s="13"/>
      <c r="K283" s="8" t="str">
        <f aca="false">IF($G283="","",IF($G283="Alta",3,IF($G283="Media",2,1))*10+COUNTIF($H283:$J283,"Sí"))</f>
        <v/>
      </c>
      <c r="L283" s="8" t="str">
        <f aca="false">IF($K283="","",COUNTIFS($B$5:$B$304,$B283,$K$5:$K$304,"&gt;"&amp;$K283)+1)</f>
        <v/>
      </c>
      <c r="M283" s="8" t="str">
        <f aca="false">IF($L283="","",IF($L283&lt;=25,"Sí","No"))</f>
        <v/>
      </c>
      <c r="N283" s="13"/>
    </row>
    <row r="284" customFormat="false" ht="15" hidden="false" customHeight="false" outlineLevel="0" collapsed="false">
      <c r="A284" s="13"/>
      <c r="B284" s="13"/>
      <c r="C284" s="13"/>
      <c r="D284" s="13"/>
      <c r="E284" s="8" t="str">
        <f aca="false">IF($D284="","",IFERROR(INDEX(Catálogo!$B$2:$B$200,MATCH($D284,Catálogo!$A$2:$A$200,0)),"ID no existe"))</f>
        <v/>
      </c>
      <c r="F284" s="8" t="str">
        <f aca="false">IF($D284="","",IFERROR(INDEX(Catálogo!$C$2:$C$200,MATCH($D284,Catálogo!$A$2:$A$200,0)),""))</f>
        <v/>
      </c>
      <c r="G284" s="8" t="str">
        <f aca="false">IF($D284="","",IFERROR(INDEX(Catálogo!$P$2:$P$200,MATCH($D284,Catálogo!$A$2:$A$200,0)),""))</f>
        <v/>
      </c>
      <c r="H284" s="13"/>
      <c r="I284" s="13"/>
      <c r="J284" s="13"/>
      <c r="K284" s="8" t="str">
        <f aca="false">IF($G284="","",IF($G284="Alta",3,IF($G284="Media",2,1))*10+COUNTIF($H284:$J284,"Sí"))</f>
        <v/>
      </c>
      <c r="L284" s="8" t="str">
        <f aca="false">IF($K284="","",COUNTIFS($B$5:$B$304,$B284,$K$5:$K$304,"&gt;"&amp;$K284)+1)</f>
        <v/>
      </c>
      <c r="M284" s="8" t="str">
        <f aca="false">IF($L284="","",IF($L284&lt;=25,"Sí","No"))</f>
        <v/>
      </c>
      <c r="N284" s="13"/>
    </row>
    <row r="285" customFormat="false" ht="15" hidden="false" customHeight="false" outlineLevel="0" collapsed="false">
      <c r="A285" s="13"/>
      <c r="B285" s="13"/>
      <c r="C285" s="13"/>
      <c r="D285" s="13"/>
      <c r="E285" s="8" t="str">
        <f aca="false">IF($D285="","",IFERROR(INDEX(Catálogo!$B$2:$B$200,MATCH($D285,Catálogo!$A$2:$A$200,0)),"ID no existe"))</f>
        <v/>
      </c>
      <c r="F285" s="8" t="str">
        <f aca="false">IF($D285="","",IFERROR(INDEX(Catálogo!$C$2:$C$200,MATCH($D285,Catálogo!$A$2:$A$200,0)),""))</f>
        <v/>
      </c>
      <c r="G285" s="8" t="str">
        <f aca="false">IF($D285="","",IFERROR(INDEX(Catálogo!$P$2:$P$200,MATCH($D285,Catálogo!$A$2:$A$200,0)),""))</f>
        <v/>
      </c>
      <c r="H285" s="13"/>
      <c r="I285" s="13"/>
      <c r="J285" s="13"/>
      <c r="K285" s="8" t="str">
        <f aca="false">IF($G285="","",IF($G285="Alta",3,IF($G285="Media",2,1))*10+COUNTIF($H285:$J285,"Sí"))</f>
        <v/>
      </c>
      <c r="L285" s="8" t="str">
        <f aca="false">IF($K285="","",COUNTIFS($B$5:$B$304,$B285,$K$5:$K$304,"&gt;"&amp;$K285)+1)</f>
        <v/>
      </c>
      <c r="M285" s="8" t="str">
        <f aca="false">IF($L285="","",IF($L285&lt;=25,"Sí","No"))</f>
        <v/>
      </c>
      <c r="N285" s="13"/>
    </row>
    <row r="286" customFormat="false" ht="15" hidden="false" customHeight="false" outlineLevel="0" collapsed="false">
      <c r="A286" s="13"/>
      <c r="B286" s="13"/>
      <c r="C286" s="13"/>
      <c r="D286" s="13"/>
      <c r="E286" s="8" t="str">
        <f aca="false">IF($D286="","",IFERROR(INDEX(Catálogo!$B$2:$B$200,MATCH($D286,Catálogo!$A$2:$A$200,0)),"ID no existe"))</f>
        <v/>
      </c>
      <c r="F286" s="8" t="str">
        <f aca="false">IF($D286="","",IFERROR(INDEX(Catálogo!$C$2:$C$200,MATCH($D286,Catálogo!$A$2:$A$200,0)),""))</f>
        <v/>
      </c>
      <c r="G286" s="8" t="str">
        <f aca="false">IF($D286="","",IFERROR(INDEX(Catálogo!$P$2:$P$200,MATCH($D286,Catálogo!$A$2:$A$200,0)),""))</f>
        <v/>
      </c>
      <c r="H286" s="13"/>
      <c r="I286" s="13"/>
      <c r="J286" s="13"/>
      <c r="K286" s="8" t="str">
        <f aca="false">IF($G286="","",IF($G286="Alta",3,IF($G286="Media",2,1))*10+COUNTIF($H286:$J286,"Sí"))</f>
        <v/>
      </c>
      <c r="L286" s="8" t="str">
        <f aca="false">IF($K286="","",COUNTIFS($B$5:$B$304,$B286,$K$5:$K$304,"&gt;"&amp;$K286)+1)</f>
        <v/>
      </c>
      <c r="M286" s="8" t="str">
        <f aca="false">IF($L286="","",IF($L286&lt;=25,"Sí","No"))</f>
        <v/>
      </c>
      <c r="N286" s="13"/>
    </row>
    <row r="287" customFormat="false" ht="15" hidden="false" customHeight="false" outlineLevel="0" collapsed="false">
      <c r="A287" s="13"/>
      <c r="B287" s="13"/>
      <c r="C287" s="13"/>
      <c r="D287" s="13"/>
      <c r="E287" s="8" t="str">
        <f aca="false">IF($D287="","",IFERROR(INDEX(Catálogo!$B$2:$B$200,MATCH($D287,Catálogo!$A$2:$A$200,0)),"ID no existe"))</f>
        <v/>
      </c>
      <c r="F287" s="8" t="str">
        <f aca="false">IF($D287="","",IFERROR(INDEX(Catálogo!$C$2:$C$200,MATCH($D287,Catálogo!$A$2:$A$200,0)),""))</f>
        <v/>
      </c>
      <c r="G287" s="8" t="str">
        <f aca="false">IF($D287="","",IFERROR(INDEX(Catálogo!$P$2:$P$200,MATCH($D287,Catálogo!$A$2:$A$200,0)),""))</f>
        <v/>
      </c>
      <c r="H287" s="13"/>
      <c r="I287" s="13"/>
      <c r="J287" s="13"/>
      <c r="K287" s="8" t="str">
        <f aca="false">IF($G287="","",IF($G287="Alta",3,IF($G287="Media",2,1))*10+COUNTIF($H287:$J287,"Sí"))</f>
        <v/>
      </c>
      <c r="L287" s="8" t="str">
        <f aca="false">IF($K287="","",COUNTIFS($B$5:$B$304,$B287,$K$5:$K$304,"&gt;"&amp;$K287)+1)</f>
        <v/>
      </c>
      <c r="M287" s="8" t="str">
        <f aca="false">IF($L287="","",IF($L287&lt;=25,"Sí","No"))</f>
        <v/>
      </c>
      <c r="N287" s="13"/>
    </row>
    <row r="288" customFormat="false" ht="15" hidden="false" customHeight="false" outlineLevel="0" collapsed="false">
      <c r="A288" s="13"/>
      <c r="B288" s="13"/>
      <c r="C288" s="13"/>
      <c r="D288" s="13"/>
      <c r="E288" s="8" t="str">
        <f aca="false">IF($D288="","",IFERROR(INDEX(Catálogo!$B$2:$B$200,MATCH($D288,Catálogo!$A$2:$A$200,0)),"ID no existe"))</f>
        <v/>
      </c>
      <c r="F288" s="8" t="str">
        <f aca="false">IF($D288="","",IFERROR(INDEX(Catálogo!$C$2:$C$200,MATCH($D288,Catálogo!$A$2:$A$200,0)),""))</f>
        <v/>
      </c>
      <c r="G288" s="8" t="str">
        <f aca="false">IF($D288="","",IFERROR(INDEX(Catálogo!$P$2:$P$200,MATCH($D288,Catálogo!$A$2:$A$200,0)),""))</f>
        <v/>
      </c>
      <c r="H288" s="13"/>
      <c r="I288" s="13"/>
      <c r="J288" s="13"/>
      <c r="K288" s="8" t="str">
        <f aca="false">IF($G288="","",IF($G288="Alta",3,IF($G288="Media",2,1))*10+COUNTIF($H288:$J288,"Sí"))</f>
        <v/>
      </c>
      <c r="L288" s="8" t="str">
        <f aca="false">IF($K288="","",COUNTIFS($B$5:$B$304,$B288,$K$5:$K$304,"&gt;"&amp;$K288)+1)</f>
        <v/>
      </c>
      <c r="M288" s="8" t="str">
        <f aca="false">IF($L288="","",IF($L288&lt;=25,"Sí","No"))</f>
        <v/>
      </c>
      <c r="N288" s="13"/>
    </row>
    <row r="289" customFormat="false" ht="15" hidden="false" customHeight="false" outlineLevel="0" collapsed="false">
      <c r="A289" s="13"/>
      <c r="B289" s="13"/>
      <c r="C289" s="13"/>
      <c r="D289" s="13"/>
      <c r="E289" s="8" t="str">
        <f aca="false">IF($D289="","",IFERROR(INDEX(Catálogo!$B$2:$B$200,MATCH($D289,Catálogo!$A$2:$A$200,0)),"ID no existe"))</f>
        <v/>
      </c>
      <c r="F289" s="8" t="str">
        <f aca="false">IF($D289="","",IFERROR(INDEX(Catálogo!$C$2:$C$200,MATCH($D289,Catálogo!$A$2:$A$200,0)),""))</f>
        <v/>
      </c>
      <c r="G289" s="8" t="str">
        <f aca="false">IF($D289="","",IFERROR(INDEX(Catálogo!$P$2:$P$200,MATCH($D289,Catálogo!$A$2:$A$200,0)),""))</f>
        <v/>
      </c>
      <c r="H289" s="13"/>
      <c r="I289" s="13"/>
      <c r="J289" s="13"/>
      <c r="K289" s="8" t="str">
        <f aca="false">IF($G289="","",IF($G289="Alta",3,IF($G289="Media",2,1))*10+COUNTIF($H289:$J289,"Sí"))</f>
        <v/>
      </c>
      <c r="L289" s="8" t="str">
        <f aca="false">IF($K289="","",COUNTIFS($B$5:$B$304,$B289,$K$5:$K$304,"&gt;"&amp;$K289)+1)</f>
        <v/>
      </c>
      <c r="M289" s="8" t="str">
        <f aca="false">IF($L289="","",IF($L289&lt;=25,"Sí","No"))</f>
        <v/>
      </c>
      <c r="N289" s="13"/>
    </row>
    <row r="290" customFormat="false" ht="15" hidden="false" customHeight="false" outlineLevel="0" collapsed="false">
      <c r="A290" s="13"/>
      <c r="B290" s="13"/>
      <c r="C290" s="13"/>
      <c r="D290" s="13"/>
      <c r="E290" s="8" t="str">
        <f aca="false">IF($D290="","",IFERROR(INDEX(Catálogo!$B$2:$B$200,MATCH($D290,Catálogo!$A$2:$A$200,0)),"ID no existe"))</f>
        <v/>
      </c>
      <c r="F290" s="8" t="str">
        <f aca="false">IF($D290="","",IFERROR(INDEX(Catálogo!$C$2:$C$200,MATCH($D290,Catálogo!$A$2:$A$200,0)),""))</f>
        <v/>
      </c>
      <c r="G290" s="8" t="str">
        <f aca="false">IF($D290="","",IFERROR(INDEX(Catálogo!$P$2:$P$200,MATCH($D290,Catálogo!$A$2:$A$200,0)),""))</f>
        <v/>
      </c>
      <c r="H290" s="13"/>
      <c r="I290" s="13"/>
      <c r="J290" s="13"/>
      <c r="K290" s="8" t="str">
        <f aca="false">IF($G290="","",IF($G290="Alta",3,IF($G290="Media",2,1))*10+COUNTIF($H290:$J290,"Sí"))</f>
        <v/>
      </c>
      <c r="L290" s="8" t="str">
        <f aca="false">IF($K290="","",COUNTIFS($B$5:$B$304,$B290,$K$5:$K$304,"&gt;"&amp;$K290)+1)</f>
        <v/>
      </c>
      <c r="M290" s="8" t="str">
        <f aca="false">IF($L290="","",IF($L290&lt;=25,"Sí","No"))</f>
        <v/>
      </c>
      <c r="N290" s="13"/>
    </row>
    <row r="291" customFormat="false" ht="15" hidden="false" customHeight="false" outlineLevel="0" collapsed="false">
      <c r="A291" s="13"/>
      <c r="B291" s="13"/>
      <c r="C291" s="13"/>
      <c r="D291" s="13"/>
      <c r="E291" s="8" t="str">
        <f aca="false">IF($D291="","",IFERROR(INDEX(Catálogo!$B$2:$B$200,MATCH($D291,Catálogo!$A$2:$A$200,0)),"ID no existe"))</f>
        <v/>
      </c>
      <c r="F291" s="8" t="str">
        <f aca="false">IF($D291="","",IFERROR(INDEX(Catálogo!$C$2:$C$200,MATCH($D291,Catálogo!$A$2:$A$200,0)),""))</f>
        <v/>
      </c>
      <c r="G291" s="8" t="str">
        <f aca="false">IF($D291="","",IFERROR(INDEX(Catálogo!$P$2:$P$200,MATCH($D291,Catálogo!$A$2:$A$200,0)),""))</f>
        <v/>
      </c>
      <c r="H291" s="13"/>
      <c r="I291" s="13"/>
      <c r="J291" s="13"/>
      <c r="K291" s="8" t="str">
        <f aca="false">IF($G291="","",IF($G291="Alta",3,IF($G291="Media",2,1))*10+COUNTIF($H291:$J291,"Sí"))</f>
        <v/>
      </c>
      <c r="L291" s="8" t="str">
        <f aca="false">IF($K291="","",COUNTIFS($B$5:$B$304,$B291,$K$5:$K$304,"&gt;"&amp;$K291)+1)</f>
        <v/>
      </c>
      <c r="M291" s="8" t="str">
        <f aca="false">IF($L291="","",IF($L291&lt;=25,"Sí","No"))</f>
        <v/>
      </c>
      <c r="N291" s="13"/>
    </row>
    <row r="292" customFormat="false" ht="15" hidden="false" customHeight="false" outlineLevel="0" collapsed="false">
      <c r="A292" s="13"/>
      <c r="B292" s="13"/>
      <c r="C292" s="13"/>
      <c r="D292" s="13"/>
      <c r="E292" s="8" t="str">
        <f aca="false">IF($D292="","",IFERROR(INDEX(Catálogo!$B$2:$B$200,MATCH($D292,Catálogo!$A$2:$A$200,0)),"ID no existe"))</f>
        <v/>
      </c>
      <c r="F292" s="8" t="str">
        <f aca="false">IF($D292="","",IFERROR(INDEX(Catálogo!$C$2:$C$200,MATCH($D292,Catálogo!$A$2:$A$200,0)),""))</f>
        <v/>
      </c>
      <c r="G292" s="8" t="str">
        <f aca="false">IF($D292="","",IFERROR(INDEX(Catálogo!$P$2:$P$200,MATCH($D292,Catálogo!$A$2:$A$200,0)),""))</f>
        <v/>
      </c>
      <c r="H292" s="13"/>
      <c r="I292" s="13"/>
      <c r="J292" s="13"/>
      <c r="K292" s="8" t="str">
        <f aca="false">IF($G292="","",IF($G292="Alta",3,IF($G292="Media",2,1))*10+COUNTIF($H292:$J292,"Sí"))</f>
        <v/>
      </c>
      <c r="L292" s="8" t="str">
        <f aca="false">IF($K292="","",COUNTIFS($B$5:$B$304,$B292,$K$5:$K$304,"&gt;"&amp;$K292)+1)</f>
        <v/>
      </c>
      <c r="M292" s="8" t="str">
        <f aca="false">IF($L292="","",IF($L292&lt;=25,"Sí","No"))</f>
        <v/>
      </c>
      <c r="N292" s="13"/>
    </row>
    <row r="293" customFormat="false" ht="15" hidden="false" customHeight="false" outlineLevel="0" collapsed="false">
      <c r="A293" s="13"/>
      <c r="B293" s="13"/>
      <c r="C293" s="13"/>
      <c r="D293" s="13"/>
      <c r="E293" s="8" t="str">
        <f aca="false">IF($D293="","",IFERROR(INDEX(Catálogo!$B$2:$B$200,MATCH($D293,Catálogo!$A$2:$A$200,0)),"ID no existe"))</f>
        <v/>
      </c>
      <c r="F293" s="8" t="str">
        <f aca="false">IF($D293="","",IFERROR(INDEX(Catálogo!$C$2:$C$200,MATCH($D293,Catálogo!$A$2:$A$200,0)),""))</f>
        <v/>
      </c>
      <c r="G293" s="8" t="str">
        <f aca="false">IF($D293="","",IFERROR(INDEX(Catálogo!$P$2:$P$200,MATCH($D293,Catálogo!$A$2:$A$200,0)),""))</f>
        <v/>
      </c>
      <c r="H293" s="13"/>
      <c r="I293" s="13"/>
      <c r="J293" s="13"/>
      <c r="K293" s="8" t="str">
        <f aca="false">IF($G293="","",IF($G293="Alta",3,IF($G293="Media",2,1))*10+COUNTIF($H293:$J293,"Sí"))</f>
        <v/>
      </c>
      <c r="L293" s="8" t="str">
        <f aca="false">IF($K293="","",COUNTIFS($B$5:$B$304,$B293,$K$5:$K$304,"&gt;"&amp;$K293)+1)</f>
        <v/>
      </c>
      <c r="M293" s="8" t="str">
        <f aca="false">IF($L293="","",IF($L293&lt;=25,"Sí","No"))</f>
        <v/>
      </c>
      <c r="N293" s="13"/>
    </row>
    <row r="294" customFormat="false" ht="15" hidden="false" customHeight="false" outlineLevel="0" collapsed="false">
      <c r="A294" s="13"/>
      <c r="B294" s="13"/>
      <c r="C294" s="13"/>
      <c r="D294" s="13"/>
      <c r="E294" s="8" t="str">
        <f aca="false">IF($D294="","",IFERROR(INDEX(Catálogo!$B$2:$B$200,MATCH($D294,Catálogo!$A$2:$A$200,0)),"ID no existe"))</f>
        <v/>
      </c>
      <c r="F294" s="8" t="str">
        <f aca="false">IF($D294="","",IFERROR(INDEX(Catálogo!$C$2:$C$200,MATCH($D294,Catálogo!$A$2:$A$200,0)),""))</f>
        <v/>
      </c>
      <c r="G294" s="8" t="str">
        <f aca="false">IF($D294="","",IFERROR(INDEX(Catálogo!$P$2:$P$200,MATCH($D294,Catálogo!$A$2:$A$200,0)),""))</f>
        <v/>
      </c>
      <c r="H294" s="13"/>
      <c r="I294" s="13"/>
      <c r="J294" s="13"/>
      <c r="K294" s="8" t="str">
        <f aca="false">IF($G294="","",IF($G294="Alta",3,IF($G294="Media",2,1))*10+COUNTIF($H294:$J294,"Sí"))</f>
        <v/>
      </c>
      <c r="L294" s="8" t="str">
        <f aca="false">IF($K294="","",COUNTIFS($B$5:$B$304,$B294,$K$5:$K$304,"&gt;"&amp;$K294)+1)</f>
        <v/>
      </c>
      <c r="M294" s="8" t="str">
        <f aca="false">IF($L294="","",IF($L294&lt;=25,"Sí","No"))</f>
        <v/>
      </c>
      <c r="N294" s="13"/>
    </row>
    <row r="295" customFormat="false" ht="15" hidden="false" customHeight="false" outlineLevel="0" collapsed="false">
      <c r="A295" s="13"/>
      <c r="B295" s="13"/>
      <c r="C295" s="13"/>
      <c r="D295" s="13"/>
      <c r="E295" s="8" t="str">
        <f aca="false">IF($D295="","",IFERROR(INDEX(Catálogo!$B$2:$B$200,MATCH($D295,Catálogo!$A$2:$A$200,0)),"ID no existe"))</f>
        <v/>
      </c>
      <c r="F295" s="8" t="str">
        <f aca="false">IF($D295="","",IFERROR(INDEX(Catálogo!$C$2:$C$200,MATCH($D295,Catálogo!$A$2:$A$200,0)),""))</f>
        <v/>
      </c>
      <c r="G295" s="8" t="str">
        <f aca="false">IF($D295="","",IFERROR(INDEX(Catálogo!$P$2:$P$200,MATCH($D295,Catálogo!$A$2:$A$200,0)),""))</f>
        <v/>
      </c>
      <c r="H295" s="13"/>
      <c r="I295" s="13"/>
      <c r="J295" s="13"/>
      <c r="K295" s="8" t="str">
        <f aca="false">IF($G295="","",IF($G295="Alta",3,IF($G295="Media",2,1))*10+COUNTIF($H295:$J295,"Sí"))</f>
        <v/>
      </c>
      <c r="L295" s="8" t="str">
        <f aca="false">IF($K295="","",COUNTIFS($B$5:$B$304,$B295,$K$5:$K$304,"&gt;"&amp;$K295)+1)</f>
        <v/>
      </c>
      <c r="M295" s="8" t="str">
        <f aca="false">IF($L295="","",IF($L295&lt;=25,"Sí","No"))</f>
        <v/>
      </c>
      <c r="N295" s="13"/>
    </row>
    <row r="296" customFormat="false" ht="15" hidden="false" customHeight="false" outlineLevel="0" collapsed="false">
      <c r="A296" s="13"/>
      <c r="B296" s="13"/>
      <c r="C296" s="13"/>
      <c r="D296" s="13"/>
      <c r="E296" s="8" t="str">
        <f aca="false">IF($D296="","",IFERROR(INDEX(Catálogo!$B$2:$B$200,MATCH($D296,Catálogo!$A$2:$A$200,0)),"ID no existe"))</f>
        <v/>
      </c>
      <c r="F296" s="8" t="str">
        <f aca="false">IF($D296="","",IFERROR(INDEX(Catálogo!$C$2:$C$200,MATCH($D296,Catálogo!$A$2:$A$200,0)),""))</f>
        <v/>
      </c>
      <c r="G296" s="8" t="str">
        <f aca="false">IF($D296="","",IFERROR(INDEX(Catálogo!$P$2:$P$200,MATCH($D296,Catálogo!$A$2:$A$200,0)),""))</f>
        <v/>
      </c>
      <c r="H296" s="13"/>
      <c r="I296" s="13"/>
      <c r="J296" s="13"/>
      <c r="K296" s="8" t="str">
        <f aca="false">IF($G296="","",IF($G296="Alta",3,IF($G296="Media",2,1))*10+COUNTIF($H296:$J296,"Sí"))</f>
        <v/>
      </c>
      <c r="L296" s="8" t="str">
        <f aca="false">IF($K296="","",COUNTIFS($B$5:$B$304,$B296,$K$5:$K$304,"&gt;"&amp;$K296)+1)</f>
        <v/>
      </c>
      <c r="M296" s="8" t="str">
        <f aca="false">IF($L296="","",IF($L296&lt;=25,"Sí","No"))</f>
        <v/>
      </c>
      <c r="N296" s="13"/>
    </row>
    <row r="297" customFormat="false" ht="15" hidden="false" customHeight="false" outlineLevel="0" collapsed="false">
      <c r="A297" s="13"/>
      <c r="B297" s="13"/>
      <c r="C297" s="13"/>
      <c r="D297" s="13"/>
      <c r="E297" s="8" t="str">
        <f aca="false">IF($D297="","",IFERROR(INDEX(Catálogo!$B$2:$B$200,MATCH($D297,Catálogo!$A$2:$A$200,0)),"ID no existe"))</f>
        <v/>
      </c>
      <c r="F297" s="8" t="str">
        <f aca="false">IF($D297="","",IFERROR(INDEX(Catálogo!$C$2:$C$200,MATCH($D297,Catálogo!$A$2:$A$200,0)),""))</f>
        <v/>
      </c>
      <c r="G297" s="8" t="str">
        <f aca="false">IF($D297="","",IFERROR(INDEX(Catálogo!$P$2:$P$200,MATCH($D297,Catálogo!$A$2:$A$200,0)),""))</f>
        <v/>
      </c>
      <c r="H297" s="13"/>
      <c r="I297" s="13"/>
      <c r="J297" s="13"/>
      <c r="K297" s="8" t="str">
        <f aca="false">IF($G297="","",IF($G297="Alta",3,IF($G297="Media",2,1))*10+COUNTIF($H297:$J297,"Sí"))</f>
        <v/>
      </c>
      <c r="L297" s="8" t="str">
        <f aca="false">IF($K297="","",COUNTIFS($B$5:$B$304,$B297,$K$5:$K$304,"&gt;"&amp;$K297)+1)</f>
        <v/>
      </c>
      <c r="M297" s="8" t="str">
        <f aca="false">IF($L297="","",IF($L297&lt;=25,"Sí","No"))</f>
        <v/>
      </c>
      <c r="N297" s="13"/>
    </row>
    <row r="298" customFormat="false" ht="15" hidden="false" customHeight="false" outlineLevel="0" collapsed="false">
      <c r="A298" s="13"/>
      <c r="B298" s="13"/>
      <c r="C298" s="13"/>
      <c r="D298" s="13"/>
      <c r="E298" s="8" t="str">
        <f aca="false">IF($D298="","",IFERROR(INDEX(Catálogo!$B$2:$B$200,MATCH($D298,Catálogo!$A$2:$A$200,0)),"ID no existe"))</f>
        <v/>
      </c>
      <c r="F298" s="8" t="str">
        <f aca="false">IF($D298="","",IFERROR(INDEX(Catálogo!$C$2:$C$200,MATCH($D298,Catálogo!$A$2:$A$200,0)),""))</f>
        <v/>
      </c>
      <c r="G298" s="8" t="str">
        <f aca="false">IF($D298="","",IFERROR(INDEX(Catálogo!$P$2:$P$200,MATCH($D298,Catálogo!$A$2:$A$200,0)),""))</f>
        <v/>
      </c>
      <c r="H298" s="13"/>
      <c r="I298" s="13"/>
      <c r="J298" s="13"/>
      <c r="K298" s="8" t="str">
        <f aca="false">IF($G298="","",IF($G298="Alta",3,IF($G298="Media",2,1))*10+COUNTIF($H298:$J298,"Sí"))</f>
        <v/>
      </c>
      <c r="L298" s="8" t="str">
        <f aca="false">IF($K298="","",COUNTIFS($B$5:$B$304,$B298,$K$5:$K$304,"&gt;"&amp;$K298)+1)</f>
        <v/>
      </c>
      <c r="M298" s="8" t="str">
        <f aca="false">IF($L298="","",IF($L298&lt;=25,"Sí","No"))</f>
        <v/>
      </c>
      <c r="N298" s="13"/>
    </row>
    <row r="299" customFormat="false" ht="15" hidden="false" customHeight="false" outlineLevel="0" collapsed="false">
      <c r="A299" s="13"/>
      <c r="B299" s="13"/>
      <c r="C299" s="13"/>
      <c r="D299" s="13"/>
      <c r="E299" s="8" t="str">
        <f aca="false">IF($D299="","",IFERROR(INDEX(Catálogo!$B$2:$B$200,MATCH($D299,Catálogo!$A$2:$A$200,0)),"ID no existe"))</f>
        <v/>
      </c>
      <c r="F299" s="8" t="str">
        <f aca="false">IF($D299="","",IFERROR(INDEX(Catálogo!$C$2:$C$200,MATCH($D299,Catálogo!$A$2:$A$200,0)),""))</f>
        <v/>
      </c>
      <c r="G299" s="8" t="str">
        <f aca="false">IF($D299="","",IFERROR(INDEX(Catálogo!$P$2:$P$200,MATCH($D299,Catálogo!$A$2:$A$200,0)),""))</f>
        <v/>
      </c>
      <c r="H299" s="13"/>
      <c r="I299" s="13"/>
      <c r="J299" s="13"/>
      <c r="K299" s="8" t="str">
        <f aca="false">IF($G299="","",IF($G299="Alta",3,IF($G299="Media",2,1))*10+COUNTIF($H299:$J299,"Sí"))</f>
        <v/>
      </c>
      <c r="L299" s="8" t="str">
        <f aca="false">IF($K299="","",COUNTIFS($B$5:$B$304,$B299,$K$5:$K$304,"&gt;"&amp;$K299)+1)</f>
        <v/>
      </c>
      <c r="M299" s="8" t="str">
        <f aca="false">IF($L299="","",IF($L299&lt;=25,"Sí","No"))</f>
        <v/>
      </c>
      <c r="N299" s="13"/>
    </row>
    <row r="300" customFormat="false" ht="15" hidden="false" customHeight="false" outlineLevel="0" collapsed="false">
      <c r="A300" s="13"/>
      <c r="B300" s="13"/>
      <c r="C300" s="13"/>
      <c r="D300" s="13"/>
      <c r="E300" s="8" t="str">
        <f aca="false">IF($D300="","",IFERROR(INDEX(Catálogo!$B$2:$B$200,MATCH($D300,Catálogo!$A$2:$A$200,0)),"ID no existe"))</f>
        <v/>
      </c>
      <c r="F300" s="8" t="str">
        <f aca="false">IF($D300="","",IFERROR(INDEX(Catálogo!$C$2:$C$200,MATCH($D300,Catálogo!$A$2:$A$200,0)),""))</f>
        <v/>
      </c>
      <c r="G300" s="8" t="str">
        <f aca="false">IF($D300="","",IFERROR(INDEX(Catálogo!$P$2:$P$200,MATCH($D300,Catálogo!$A$2:$A$200,0)),""))</f>
        <v/>
      </c>
      <c r="H300" s="13"/>
      <c r="I300" s="13"/>
      <c r="J300" s="13"/>
      <c r="K300" s="8" t="str">
        <f aca="false">IF($G300="","",IF($G300="Alta",3,IF($G300="Media",2,1))*10+COUNTIF($H300:$J300,"Sí"))</f>
        <v/>
      </c>
      <c r="L300" s="8" t="str">
        <f aca="false">IF($K300="","",COUNTIFS($B$5:$B$304,$B300,$K$5:$K$304,"&gt;"&amp;$K300)+1)</f>
        <v/>
      </c>
      <c r="M300" s="8" t="str">
        <f aca="false">IF($L300="","",IF($L300&lt;=25,"Sí","No"))</f>
        <v/>
      </c>
      <c r="N300" s="13"/>
    </row>
    <row r="301" customFormat="false" ht="15" hidden="false" customHeight="false" outlineLevel="0" collapsed="false">
      <c r="A301" s="13"/>
      <c r="B301" s="13"/>
      <c r="C301" s="13"/>
      <c r="D301" s="13"/>
      <c r="E301" s="8" t="str">
        <f aca="false">IF($D301="","",IFERROR(INDEX(Catálogo!$B$2:$B$200,MATCH($D301,Catálogo!$A$2:$A$200,0)),"ID no existe"))</f>
        <v/>
      </c>
      <c r="F301" s="8" t="str">
        <f aca="false">IF($D301="","",IFERROR(INDEX(Catálogo!$C$2:$C$200,MATCH($D301,Catálogo!$A$2:$A$200,0)),""))</f>
        <v/>
      </c>
      <c r="G301" s="8" t="str">
        <f aca="false">IF($D301="","",IFERROR(INDEX(Catálogo!$P$2:$P$200,MATCH($D301,Catálogo!$A$2:$A$200,0)),""))</f>
        <v/>
      </c>
      <c r="H301" s="13"/>
      <c r="I301" s="13"/>
      <c r="J301" s="13"/>
      <c r="K301" s="8" t="str">
        <f aca="false">IF($G301="","",IF($G301="Alta",3,IF($G301="Media",2,1))*10+COUNTIF($H301:$J301,"Sí"))</f>
        <v/>
      </c>
      <c r="L301" s="8" t="str">
        <f aca="false">IF($K301="","",COUNTIFS($B$5:$B$304,$B301,$K$5:$K$304,"&gt;"&amp;$K301)+1)</f>
        <v/>
      </c>
      <c r="M301" s="8" t="str">
        <f aca="false">IF($L301="","",IF($L301&lt;=25,"Sí","No"))</f>
        <v/>
      </c>
      <c r="N301" s="13"/>
    </row>
    <row r="302" customFormat="false" ht="15" hidden="false" customHeight="false" outlineLevel="0" collapsed="false">
      <c r="A302" s="13"/>
      <c r="B302" s="13"/>
      <c r="C302" s="13"/>
      <c r="D302" s="13"/>
      <c r="E302" s="8" t="str">
        <f aca="false">IF($D302="","",IFERROR(INDEX(Catálogo!$B$2:$B$200,MATCH($D302,Catálogo!$A$2:$A$200,0)),"ID no existe"))</f>
        <v/>
      </c>
      <c r="F302" s="8" t="str">
        <f aca="false">IF($D302="","",IFERROR(INDEX(Catálogo!$C$2:$C$200,MATCH($D302,Catálogo!$A$2:$A$200,0)),""))</f>
        <v/>
      </c>
      <c r="G302" s="8" t="str">
        <f aca="false">IF($D302="","",IFERROR(INDEX(Catálogo!$P$2:$P$200,MATCH($D302,Catálogo!$A$2:$A$200,0)),""))</f>
        <v/>
      </c>
      <c r="H302" s="13"/>
      <c r="I302" s="13"/>
      <c r="J302" s="13"/>
      <c r="K302" s="8" t="str">
        <f aca="false">IF($G302="","",IF($G302="Alta",3,IF($G302="Media",2,1))*10+COUNTIF($H302:$J302,"Sí"))</f>
        <v/>
      </c>
      <c r="L302" s="8" t="str">
        <f aca="false">IF($K302="","",COUNTIFS($B$5:$B$304,$B302,$K$5:$K$304,"&gt;"&amp;$K302)+1)</f>
        <v/>
      </c>
      <c r="M302" s="8" t="str">
        <f aca="false">IF($L302="","",IF($L302&lt;=25,"Sí","No"))</f>
        <v/>
      </c>
      <c r="N302" s="13"/>
    </row>
    <row r="303" customFormat="false" ht="15" hidden="false" customHeight="false" outlineLevel="0" collapsed="false">
      <c r="A303" s="13"/>
      <c r="B303" s="13"/>
      <c r="C303" s="13"/>
      <c r="D303" s="13"/>
      <c r="E303" s="8" t="str">
        <f aca="false">IF($D303="","",IFERROR(INDEX(Catálogo!$B$2:$B$200,MATCH($D303,Catálogo!$A$2:$A$200,0)),"ID no existe"))</f>
        <v/>
      </c>
      <c r="F303" s="8" t="str">
        <f aca="false">IF($D303="","",IFERROR(INDEX(Catálogo!$C$2:$C$200,MATCH($D303,Catálogo!$A$2:$A$200,0)),""))</f>
        <v/>
      </c>
      <c r="G303" s="8" t="str">
        <f aca="false">IF($D303="","",IFERROR(INDEX(Catálogo!$P$2:$P$200,MATCH($D303,Catálogo!$A$2:$A$200,0)),""))</f>
        <v/>
      </c>
      <c r="H303" s="13"/>
      <c r="I303" s="13"/>
      <c r="J303" s="13"/>
      <c r="K303" s="8" t="str">
        <f aca="false">IF($G303="","",IF($G303="Alta",3,IF($G303="Media",2,1))*10+COUNTIF($H303:$J303,"Sí"))</f>
        <v/>
      </c>
      <c r="L303" s="8" t="str">
        <f aca="false">IF($K303="","",COUNTIFS($B$5:$B$304,$B303,$K$5:$K$304,"&gt;"&amp;$K303)+1)</f>
        <v/>
      </c>
      <c r="M303" s="8" t="str">
        <f aca="false">IF($L303="","",IF($L303&lt;=25,"Sí","No"))</f>
        <v/>
      </c>
      <c r="N303" s="13"/>
    </row>
    <row r="304" customFormat="false" ht="15" hidden="false" customHeight="false" outlineLevel="0" collapsed="false">
      <c r="A304" s="13"/>
      <c r="B304" s="13"/>
      <c r="C304" s="13"/>
      <c r="D304" s="13"/>
      <c r="E304" s="8" t="str">
        <f aca="false">IF($D304="","",IFERROR(INDEX(Catálogo!$B$2:$B$200,MATCH($D304,Catálogo!$A$2:$A$200,0)),"ID no existe"))</f>
        <v/>
      </c>
      <c r="F304" s="8" t="str">
        <f aca="false">IF($D304="","",IFERROR(INDEX(Catálogo!$C$2:$C$200,MATCH($D304,Catálogo!$A$2:$A$200,0)),""))</f>
        <v/>
      </c>
      <c r="G304" s="8" t="str">
        <f aca="false">IF($D304="","",IFERROR(INDEX(Catálogo!$P$2:$P$200,MATCH($D304,Catálogo!$A$2:$A$200,0)),""))</f>
        <v/>
      </c>
      <c r="H304" s="13"/>
      <c r="I304" s="13"/>
      <c r="J304" s="13"/>
      <c r="K304" s="8" t="str">
        <f aca="false">IF($G304="","",IF($G304="Alta",3,IF($G304="Media",2,1))*10+COUNTIF($H304:$J304,"Sí"))</f>
        <v/>
      </c>
      <c r="L304" s="8" t="str">
        <f aca="false">IF($K304="","",COUNTIFS($B$5:$B$304,$B304,$K$5:$K$304,"&gt;"&amp;$K304)+1)</f>
        <v/>
      </c>
      <c r="M304" s="8" t="str">
        <f aca="false">IF($L304="","",IF($L304&lt;=25,"Sí","No"))</f>
        <v/>
      </c>
      <c r="N304" s="13"/>
    </row>
  </sheetData>
  <autoFilter ref="A4:N304"/>
  <dataValidations count="2">
    <dataValidation allowBlank="false" errorStyle="stop" operator="between" showDropDown="false" showErrorMessage="false" showInputMessage="false" sqref="H5:J304" type="list">
      <formula1>"Sí,No"</formula1>
      <formula2>0</formula2>
    </dataValidation>
    <dataValidation allowBlank="true" errorStyle="stop" operator="between" showDropDown="false" showErrorMessage="false" showInputMessage="false" sqref="D5:D304" type="list">
      <formula1>Catálogo!$A$2:$A$90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475</v>
      </c>
    </row>
    <row r="2" customFormat="false" ht="15" hidden="false" customHeight="false" outlineLevel="0" collapsed="false">
      <c r="A2" s="2" t="s">
        <v>476</v>
      </c>
    </row>
    <row r="4" customFormat="false" ht="15" hidden="false" customHeight="false" outlineLevel="0" collapsed="false">
      <c r="A4" s="7" t="s">
        <v>477</v>
      </c>
      <c r="B4" s="7" t="s">
        <v>478</v>
      </c>
      <c r="C4" s="7" t="s">
        <v>479</v>
      </c>
      <c r="D4" s="7" t="s">
        <v>480</v>
      </c>
      <c r="E4" s="7" t="s">
        <v>481</v>
      </c>
    </row>
    <row r="5" customFormat="false" ht="15" hidden="false" customHeight="false" outlineLevel="0" collapsed="false">
      <c r="A5" s="8" t="s">
        <v>482</v>
      </c>
      <c r="B5" s="8" t="s">
        <v>88</v>
      </c>
      <c r="C5" s="8" t="s">
        <v>483</v>
      </c>
      <c r="D5" s="8" t="s">
        <v>484</v>
      </c>
      <c r="E5" s="8" t="s">
        <v>485</v>
      </c>
    </row>
    <row r="6" customFormat="false" ht="15" hidden="false" customHeight="false" outlineLevel="0" collapsed="false">
      <c r="A6" s="8" t="s">
        <v>486</v>
      </c>
      <c r="B6" s="8" t="s">
        <v>161</v>
      </c>
      <c r="C6" s="8" t="s">
        <v>487</v>
      </c>
      <c r="D6" s="8" t="s">
        <v>488</v>
      </c>
      <c r="E6" s="8" t="s">
        <v>489</v>
      </c>
    </row>
    <row r="7" customFormat="false" ht="15" hidden="false" customHeight="false" outlineLevel="0" collapsed="false">
      <c r="A7" s="8" t="s">
        <v>490</v>
      </c>
      <c r="B7" s="8" t="s">
        <v>126</v>
      </c>
      <c r="C7" s="8" t="s">
        <v>491</v>
      </c>
      <c r="D7" s="8" t="s">
        <v>492</v>
      </c>
      <c r="E7" s="8" t="s">
        <v>493</v>
      </c>
    </row>
    <row r="8" customFormat="false" ht="15" hidden="false" customHeight="false" outlineLevel="0" collapsed="false">
      <c r="A8" s="8" t="s">
        <v>132</v>
      </c>
      <c r="B8" s="8" t="s">
        <v>106</v>
      </c>
      <c r="C8" s="8" t="s">
        <v>494</v>
      </c>
      <c r="D8" s="8" t="s">
        <v>495</v>
      </c>
      <c r="E8" s="8" t="s">
        <v>496</v>
      </c>
    </row>
    <row r="9" customFormat="false" ht="15" hidden="false" customHeight="false" outlineLevel="0" collapsed="false">
      <c r="A9" s="8" t="s">
        <v>320</v>
      </c>
      <c r="B9" s="8" t="s">
        <v>270</v>
      </c>
      <c r="C9" s="8" t="s">
        <v>497</v>
      </c>
      <c r="D9" s="8" t="s">
        <v>498</v>
      </c>
      <c r="E9" s="8" t="s">
        <v>499</v>
      </c>
    </row>
    <row r="10" customFormat="false" ht="15" hidden="false" customHeight="false" outlineLevel="0" collapsed="false">
      <c r="A10" s="8" t="s">
        <v>500</v>
      </c>
      <c r="B10" s="8" t="s">
        <v>139</v>
      </c>
      <c r="C10" s="8" t="s">
        <v>501</v>
      </c>
      <c r="D10" s="8" t="s">
        <v>502</v>
      </c>
      <c r="E10" s="8" t="s">
        <v>503</v>
      </c>
    </row>
    <row r="13" customFormat="false" ht="23.85" hidden="false" customHeight="false" outlineLevel="0" collapsed="false">
      <c r="A13" s="7" t="s">
        <v>458</v>
      </c>
      <c r="B13" s="7" t="s">
        <v>482</v>
      </c>
      <c r="C13" s="7" t="s">
        <v>486</v>
      </c>
      <c r="D13" s="7" t="s">
        <v>490</v>
      </c>
      <c r="E13" s="7" t="s">
        <v>132</v>
      </c>
      <c r="F13" s="7" t="s">
        <v>320</v>
      </c>
      <c r="G13" s="7" t="s">
        <v>500</v>
      </c>
    </row>
    <row r="14" customFormat="false" ht="35.05" hidden="false" customHeight="false" outlineLevel="0" collapsed="false">
      <c r="A14" s="8" t="s">
        <v>504</v>
      </c>
      <c r="B14" s="8" t="s">
        <v>505</v>
      </c>
      <c r="C14" s="8"/>
      <c r="D14" s="8" t="s">
        <v>505</v>
      </c>
      <c r="E14" s="8"/>
      <c r="F14" s="8"/>
      <c r="G14" s="8"/>
    </row>
    <row r="15" customFormat="false" ht="35.05" hidden="false" customHeight="false" outlineLevel="0" collapsed="false">
      <c r="A15" s="8" t="s">
        <v>506</v>
      </c>
      <c r="B15" s="8" t="s">
        <v>505</v>
      </c>
      <c r="C15" s="8" t="s">
        <v>505</v>
      </c>
      <c r="D15" s="8" t="s">
        <v>505</v>
      </c>
      <c r="E15" s="8" t="s">
        <v>505</v>
      </c>
      <c r="F15" s="8" t="s">
        <v>505</v>
      </c>
      <c r="G15" s="8" t="s">
        <v>505</v>
      </c>
    </row>
    <row r="16" customFormat="false" ht="35.05" hidden="false" customHeight="false" outlineLevel="0" collapsed="false">
      <c r="A16" s="8" t="s">
        <v>507</v>
      </c>
      <c r="B16" s="8"/>
      <c r="C16" s="8" t="s">
        <v>505</v>
      </c>
      <c r="D16" s="8" t="s">
        <v>508</v>
      </c>
      <c r="E16" s="8" t="s">
        <v>505</v>
      </c>
      <c r="F16" s="8" t="s">
        <v>505</v>
      </c>
      <c r="G16" s="8"/>
    </row>
    <row r="17" customFormat="false" ht="35.05" hidden="false" customHeight="false" outlineLevel="0" collapsed="false">
      <c r="A17" s="8" t="s">
        <v>509</v>
      </c>
      <c r="B17" s="8"/>
      <c r="C17" s="8" t="s">
        <v>505</v>
      </c>
      <c r="D17" s="8"/>
      <c r="E17" s="8" t="s">
        <v>505</v>
      </c>
      <c r="F17" s="8" t="s">
        <v>505</v>
      </c>
      <c r="G17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70"/>
  </cols>
  <sheetData>
    <row r="1" customFormat="false" ht="17.35" hidden="false" customHeight="false" outlineLevel="0" collapsed="false">
      <c r="A1" s="1" t="s">
        <v>510</v>
      </c>
    </row>
    <row r="2" customFormat="false" ht="15" hidden="false" customHeight="false" outlineLevel="0" collapsed="false">
      <c r="A2" s="2" t="s">
        <v>511</v>
      </c>
    </row>
    <row r="4" customFormat="false" ht="15" hidden="false" customHeight="false" outlineLevel="0" collapsed="false">
      <c r="A4" s="7" t="s">
        <v>512</v>
      </c>
      <c r="B4" s="7" t="s">
        <v>513</v>
      </c>
      <c r="C4" s="7" t="s">
        <v>514</v>
      </c>
    </row>
    <row r="5" customFormat="false" ht="35.05" hidden="false" customHeight="false" outlineLevel="0" collapsed="false">
      <c r="A5" s="8" t="s">
        <v>92</v>
      </c>
      <c r="B5" s="8" t="s">
        <v>515</v>
      </c>
      <c r="C5" s="8" t="s">
        <v>516</v>
      </c>
    </row>
    <row r="6" customFormat="false" ht="15" hidden="false" customHeight="false" outlineLevel="0" collapsed="false">
      <c r="A6" s="8" t="s">
        <v>191</v>
      </c>
      <c r="B6" s="8" t="s">
        <v>517</v>
      </c>
      <c r="C6" s="8" t="s">
        <v>518</v>
      </c>
    </row>
    <row r="7" customFormat="false" ht="15" hidden="false" customHeight="false" outlineLevel="0" collapsed="false">
      <c r="A7" s="8" t="s">
        <v>349</v>
      </c>
      <c r="B7" s="8" t="s">
        <v>519</v>
      </c>
      <c r="C7" s="8" t="s">
        <v>520</v>
      </c>
    </row>
    <row r="8" customFormat="false" ht="23.85" hidden="false" customHeight="false" outlineLevel="0" collapsed="false">
      <c r="A8" s="8" t="s">
        <v>364</v>
      </c>
      <c r="B8" s="8" t="s">
        <v>521</v>
      </c>
      <c r="C8" s="8" t="s">
        <v>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2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523</v>
      </c>
    </row>
    <row r="2" customFormat="false" ht="15" hidden="false" customHeight="false" outlineLevel="0" collapsed="false">
      <c r="A2" s="2" t="s">
        <v>524</v>
      </c>
    </row>
    <row r="4" customFormat="false" ht="15" hidden="false" customHeight="false" outlineLevel="0" collapsed="false">
      <c r="A4" s="7" t="s">
        <v>525</v>
      </c>
      <c r="B4" s="7" t="s">
        <v>526</v>
      </c>
      <c r="C4" s="7" t="s">
        <v>527</v>
      </c>
    </row>
    <row r="5" customFormat="false" ht="15" hidden="false" customHeight="false" outlineLevel="0" collapsed="false">
      <c r="A5" s="8" t="s">
        <v>528</v>
      </c>
      <c r="B5" s="8" t="s">
        <v>529</v>
      </c>
      <c r="C5" s="8" t="s">
        <v>530</v>
      </c>
    </row>
    <row r="6" customFormat="false" ht="15" hidden="false" customHeight="false" outlineLevel="0" collapsed="false">
      <c r="A6" s="8" t="s">
        <v>531</v>
      </c>
      <c r="B6" s="8" t="s">
        <v>532</v>
      </c>
      <c r="C6" s="8" t="s">
        <v>530</v>
      </c>
    </row>
    <row r="7" customFormat="false" ht="15" hidden="false" customHeight="false" outlineLevel="0" collapsed="false">
      <c r="A7" s="8" t="s">
        <v>533</v>
      </c>
      <c r="B7" s="8" t="s">
        <v>534</v>
      </c>
      <c r="C7" s="8" t="s">
        <v>530</v>
      </c>
    </row>
    <row r="8" customFormat="false" ht="15" hidden="false" customHeight="false" outlineLevel="0" collapsed="false">
      <c r="A8" s="8" t="s">
        <v>535</v>
      </c>
      <c r="B8" s="8" t="s">
        <v>536</v>
      </c>
      <c r="C8" s="8" t="s">
        <v>530</v>
      </c>
    </row>
    <row r="9" customFormat="false" ht="15" hidden="false" customHeight="false" outlineLevel="0" collapsed="false">
      <c r="A9" s="8" t="s">
        <v>537</v>
      </c>
      <c r="B9" s="8" t="s">
        <v>538</v>
      </c>
      <c r="C9" s="8" t="s">
        <v>530</v>
      </c>
    </row>
    <row r="10" customFormat="false" ht="15" hidden="false" customHeight="false" outlineLevel="0" collapsed="false">
      <c r="A10" s="8" t="s">
        <v>539</v>
      </c>
      <c r="B10" s="8" t="s">
        <v>540</v>
      </c>
      <c r="C10" s="8" t="s">
        <v>530</v>
      </c>
    </row>
    <row r="11" customFormat="false" ht="15" hidden="false" customHeight="false" outlineLevel="0" collapsed="false">
      <c r="A11" s="8" t="s">
        <v>541</v>
      </c>
      <c r="B11" s="8" t="s">
        <v>542</v>
      </c>
      <c r="C11" s="8" t="s">
        <v>530</v>
      </c>
    </row>
    <row r="12" customFormat="false" ht="15" hidden="false" customHeight="false" outlineLevel="0" collapsed="false">
      <c r="A12" s="8" t="s">
        <v>543</v>
      </c>
      <c r="B12" s="8" t="s">
        <v>544</v>
      </c>
      <c r="C12" s="8" t="s">
        <v>530</v>
      </c>
    </row>
    <row r="13" customFormat="false" ht="15" hidden="false" customHeight="false" outlineLevel="0" collapsed="false">
      <c r="A13" s="8" t="s">
        <v>545</v>
      </c>
      <c r="B13" s="8" t="s">
        <v>546</v>
      </c>
      <c r="C13" s="8" t="s">
        <v>530</v>
      </c>
    </row>
    <row r="14" customFormat="false" ht="15" hidden="false" customHeight="false" outlineLevel="0" collapsed="false">
      <c r="A14" s="8" t="s">
        <v>547</v>
      </c>
      <c r="B14" s="8" t="s">
        <v>548</v>
      </c>
      <c r="C14" s="8" t="s">
        <v>530</v>
      </c>
    </row>
    <row r="15" customFormat="false" ht="15" hidden="false" customHeight="false" outlineLevel="0" collapsed="false">
      <c r="A15" s="8" t="s">
        <v>549</v>
      </c>
      <c r="B15" s="8" t="s">
        <v>550</v>
      </c>
      <c r="C15" s="8" t="s">
        <v>530</v>
      </c>
    </row>
    <row r="16" customFormat="false" ht="15" hidden="false" customHeight="false" outlineLevel="0" collapsed="false">
      <c r="A16" s="8" t="s">
        <v>551</v>
      </c>
      <c r="B16" s="8" t="s">
        <v>552</v>
      </c>
      <c r="C16" s="8" t="s">
        <v>530</v>
      </c>
    </row>
    <row r="17" customFormat="false" ht="15" hidden="false" customHeight="false" outlineLevel="0" collapsed="false">
      <c r="A17" s="8" t="s">
        <v>553</v>
      </c>
      <c r="B17" s="8" t="s">
        <v>554</v>
      </c>
      <c r="C17" s="8" t="s">
        <v>530</v>
      </c>
    </row>
    <row r="18" customFormat="false" ht="15" hidden="false" customHeight="false" outlineLevel="0" collapsed="false">
      <c r="A18" s="8" t="s">
        <v>555</v>
      </c>
      <c r="B18" s="8" t="s">
        <v>556</v>
      </c>
      <c r="C18" s="8" t="s">
        <v>530</v>
      </c>
    </row>
    <row r="19" customFormat="false" ht="15" hidden="false" customHeight="false" outlineLevel="0" collapsed="false">
      <c r="A19" s="8" t="s">
        <v>557</v>
      </c>
      <c r="B19" s="8" t="s">
        <v>558</v>
      </c>
      <c r="C19" s="8" t="s">
        <v>530</v>
      </c>
    </row>
    <row r="20" customFormat="false" ht="15" hidden="false" customHeight="false" outlineLevel="0" collapsed="false">
      <c r="A20" s="8" t="s">
        <v>559</v>
      </c>
      <c r="B20" s="8" t="s">
        <v>560</v>
      </c>
      <c r="C20" s="8" t="s">
        <v>530</v>
      </c>
    </row>
    <row r="21" customFormat="false" ht="15" hidden="false" customHeight="false" outlineLevel="0" collapsed="false">
      <c r="A21" s="8" t="s">
        <v>561</v>
      </c>
      <c r="B21" s="8" t="s">
        <v>562</v>
      </c>
      <c r="C21" s="8" t="s">
        <v>530</v>
      </c>
    </row>
    <row r="22" customFormat="false" ht="15" hidden="false" customHeight="false" outlineLevel="0" collapsed="false">
      <c r="A22" s="8" t="s">
        <v>563</v>
      </c>
      <c r="B22" s="8" t="s">
        <v>564</v>
      </c>
      <c r="C22" s="8" t="s">
        <v>530</v>
      </c>
    </row>
    <row r="23" customFormat="false" ht="15" hidden="false" customHeight="false" outlineLevel="0" collapsed="false">
      <c r="A23" s="8" t="s">
        <v>565</v>
      </c>
      <c r="B23" s="8" t="s">
        <v>566</v>
      </c>
      <c r="C23" s="8" t="s">
        <v>567</v>
      </c>
    </row>
    <row r="24" customFormat="false" ht="15" hidden="false" customHeight="false" outlineLevel="0" collapsed="false">
      <c r="A24" s="8" t="s">
        <v>568</v>
      </c>
      <c r="B24" s="8" t="s">
        <v>569</v>
      </c>
      <c r="C24" s="8" t="s">
        <v>567</v>
      </c>
    </row>
    <row r="25" customFormat="false" ht="15" hidden="false" customHeight="false" outlineLevel="0" collapsed="false">
      <c r="A25" s="8" t="s">
        <v>570</v>
      </c>
      <c r="B25" s="8" t="s">
        <v>571</v>
      </c>
      <c r="C25" s="8" t="s">
        <v>567</v>
      </c>
    </row>
    <row r="26" customFormat="false" ht="15" hidden="false" customHeight="false" outlineLevel="0" collapsed="false">
      <c r="A26" s="8" t="s">
        <v>572</v>
      </c>
      <c r="B26" s="8" t="s">
        <v>573</v>
      </c>
      <c r="C26" s="8" t="s">
        <v>567</v>
      </c>
    </row>
    <row r="27" customFormat="false" ht="15" hidden="false" customHeight="false" outlineLevel="0" collapsed="false">
      <c r="A27" s="8" t="s">
        <v>574</v>
      </c>
      <c r="B27" s="8" t="s">
        <v>575</v>
      </c>
      <c r="C27" s="8" t="s">
        <v>567</v>
      </c>
    </row>
    <row r="28" customFormat="false" ht="15" hidden="false" customHeight="false" outlineLevel="0" collapsed="false">
      <c r="A28" s="8" t="s">
        <v>576</v>
      </c>
      <c r="B28" s="8" t="s">
        <v>577</v>
      </c>
      <c r="C28" s="8" t="s">
        <v>578</v>
      </c>
    </row>
    <row r="29" customFormat="false" ht="15" hidden="false" customHeight="false" outlineLevel="0" collapsed="false">
      <c r="A29" s="8" t="s">
        <v>579</v>
      </c>
      <c r="B29" s="8" t="s">
        <v>580</v>
      </c>
      <c r="C29" s="8" t="s">
        <v>578</v>
      </c>
    </row>
    <row r="30" customFormat="false" ht="15" hidden="false" customHeight="false" outlineLevel="0" collapsed="false">
      <c r="A30" s="8" t="s">
        <v>581</v>
      </c>
      <c r="B30" s="8" t="s">
        <v>582</v>
      </c>
      <c r="C30" s="8" t="s">
        <v>578</v>
      </c>
    </row>
    <row r="31" customFormat="false" ht="15" hidden="false" customHeight="false" outlineLevel="0" collapsed="false">
      <c r="A31" s="8" t="s">
        <v>583</v>
      </c>
      <c r="B31" s="8" t="s">
        <v>584</v>
      </c>
      <c r="C31" s="8" t="s">
        <v>578</v>
      </c>
    </row>
    <row r="32" customFormat="false" ht="15" hidden="false" customHeight="false" outlineLevel="0" collapsed="false">
      <c r="A32" s="8" t="s">
        <v>585</v>
      </c>
      <c r="B32" s="8" t="s">
        <v>586</v>
      </c>
      <c r="C32" s="8" t="s">
        <v>578</v>
      </c>
    </row>
    <row r="33" customFormat="false" ht="15" hidden="false" customHeight="false" outlineLevel="0" collapsed="false">
      <c r="A33" s="8" t="s">
        <v>587</v>
      </c>
      <c r="B33" s="8" t="s">
        <v>588</v>
      </c>
      <c r="C33" s="8" t="s">
        <v>589</v>
      </c>
    </row>
    <row r="34" customFormat="false" ht="15" hidden="false" customHeight="false" outlineLevel="0" collapsed="false">
      <c r="A34" s="8" t="s">
        <v>590</v>
      </c>
      <c r="B34" s="8" t="s">
        <v>591</v>
      </c>
      <c r="C34" s="8" t="s">
        <v>589</v>
      </c>
    </row>
    <row r="35" customFormat="false" ht="15" hidden="false" customHeight="false" outlineLevel="0" collapsed="false">
      <c r="A35" s="8" t="s">
        <v>592</v>
      </c>
      <c r="B35" s="8" t="s">
        <v>593</v>
      </c>
      <c r="C35" s="8" t="s">
        <v>589</v>
      </c>
    </row>
    <row r="36" customFormat="false" ht="15" hidden="false" customHeight="false" outlineLevel="0" collapsed="false">
      <c r="A36" s="8" t="s">
        <v>594</v>
      </c>
      <c r="B36" s="8" t="s">
        <v>595</v>
      </c>
      <c r="C36" s="8" t="s">
        <v>589</v>
      </c>
    </row>
    <row r="37" customFormat="false" ht="15" hidden="false" customHeight="false" outlineLevel="0" collapsed="false">
      <c r="A37" s="8" t="s">
        <v>596</v>
      </c>
      <c r="B37" s="8" t="s">
        <v>597</v>
      </c>
      <c r="C37" s="8" t="s">
        <v>589</v>
      </c>
    </row>
    <row r="38" customFormat="false" ht="15" hidden="false" customHeight="false" outlineLevel="0" collapsed="false">
      <c r="A38" s="8" t="s">
        <v>598</v>
      </c>
      <c r="B38" s="8" t="s">
        <v>599</v>
      </c>
      <c r="C38" s="8" t="s">
        <v>589</v>
      </c>
    </row>
    <row r="39" customFormat="false" ht="15" hidden="false" customHeight="false" outlineLevel="0" collapsed="false">
      <c r="A39" s="8" t="s">
        <v>600</v>
      </c>
      <c r="B39" s="8" t="s">
        <v>601</v>
      </c>
      <c r="C39" s="8" t="s">
        <v>589</v>
      </c>
    </row>
    <row r="40" customFormat="false" ht="15" hidden="false" customHeight="false" outlineLevel="0" collapsed="false">
      <c r="A40" s="8" t="s">
        <v>602</v>
      </c>
      <c r="B40" s="8" t="s">
        <v>603</v>
      </c>
      <c r="C40" s="8" t="s">
        <v>589</v>
      </c>
    </row>
    <row r="41" customFormat="false" ht="15" hidden="false" customHeight="false" outlineLevel="0" collapsed="false">
      <c r="A41" s="8" t="s">
        <v>604</v>
      </c>
      <c r="B41" s="8" t="s">
        <v>605</v>
      </c>
      <c r="C41" s="8" t="s">
        <v>589</v>
      </c>
    </row>
    <row r="42" customFormat="false" ht="15" hidden="false" customHeight="false" outlineLevel="0" collapsed="false">
      <c r="A42" s="8" t="s">
        <v>606</v>
      </c>
      <c r="B42" s="8" t="s">
        <v>607</v>
      </c>
      <c r="C42" s="8" t="s">
        <v>589</v>
      </c>
    </row>
    <row r="43" customFormat="false" ht="15" hidden="false" customHeight="false" outlineLevel="0" collapsed="false">
      <c r="A43" s="8" t="s">
        <v>608</v>
      </c>
      <c r="B43" s="8" t="s">
        <v>609</v>
      </c>
      <c r="C43" s="8" t="s">
        <v>589</v>
      </c>
    </row>
    <row r="44" customFormat="false" ht="15" hidden="false" customHeight="false" outlineLevel="0" collapsed="false">
      <c r="A44" s="8" t="s">
        <v>610</v>
      </c>
      <c r="B44" s="8" t="s">
        <v>611</v>
      </c>
      <c r="C44" s="8" t="s">
        <v>589</v>
      </c>
    </row>
    <row r="45" customFormat="false" ht="15" hidden="false" customHeight="false" outlineLevel="0" collapsed="false">
      <c r="A45" s="8" t="s">
        <v>612</v>
      </c>
      <c r="B45" s="8" t="s">
        <v>613</v>
      </c>
      <c r="C45" s="8" t="s">
        <v>589</v>
      </c>
    </row>
    <row r="46" customFormat="false" ht="15" hidden="false" customHeight="false" outlineLevel="0" collapsed="false">
      <c r="A46" s="8" t="s">
        <v>614</v>
      </c>
      <c r="B46" s="8" t="s">
        <v>615</v>
      </c>
      <c r="C46" s="8" t="s">
        <v>589</v>
      </c>
    </row>
    <row r="47" customFormat="false" ht="15" hidden="false" customHeight="false" outlineLevel="0" collapsed="false">
      <c r="A47" s="8" t="s">
        <v>616</v>
      </c>
      <c r="B47" s="8" t="s">
        <v>617</v>
      </c>
      <c r="C47" s="8" t="s">
        <v>589</v>
      </c>
    </row>
    <row r="48" customFormat="false" ht="15" hidden="false" customHeight="false" outlineLevel="0" collapsed="false">
      <c r="A48" s="8" t="s">
        <v>618</v>
      </c>
      <c r="B48" s="8" t="s">
        <v>619</v>
      </c>
      <c r="C48" s="8" t="s">
        <v>589</v>
      </c>
    </row>
    <row r="49" customFormat="false" ht="15" hidden="false" customHeight="false" outlineLevel="0" collapsed="false">
      <c r="A49" s="8" t="s">
        <v>620</v>
      </c>
      <c r="B49" s="8" t="s">
        <v>621</v>
      </c>
      <c r="C49" s="8" t="s">
        <v>589</v>
      </c>
    </row>
    <row r="50" customFormat="false" ht="15" hidden="false" customHeight="false" outlineLevel="0" collapsed="false">
      <c r="A50" s="8" t="s">
        <v>622</v>
      </c>
      <c r="B50" s="8" t="s">
        <v>623</v>
      </c>
      <c r="C50" s="8" t="s">
        <v>589</v>
      </c>
    </row>
    <row r="51" customFormat="false" ht="15" hidden="false" customHeight="false" outlineLevel="0" collapsed="false">
      <c r="A51" s="8" t="s">
        <v>624</v>
      </c>
      <c r="B51" s="8" t="s">
        <v>625</v>
      </c>
      <c r="C51" s="8" t="s">
        <v>589</v>
      </c>
    </row>
    <row r="52" customFormat="false" ht="15" hidden="false" customHeight="false" outlineLevel="0" collapsed="false">
      <c r="A52" s="8" t="s">
        <v>626</v>
      </c>
      <c r="B52" s="8" t="s">
        <v>627</v>
      </c>
      <c r="C52" s="8" t="s">
        <v>589</v>
      </c>
    </row>
    <row r="53" customFormat="false" ht="15" hidden="false" customHeight="false" outlineLevel="0" collapsed="false">
      <c r="A53" s="8" t="s">
        <v>628</v>
      </c>
      <c r="B53" s="8" t="s">
        <v>629</v>
      </c>
      <c r="C53" s="8" t="s">
        <v>589</v>
      </c>
    </row>
    <row r="54" customFormat="false" ht="15" hidden="false" customHeight="false" outlineLevel="0" collapsed="false">
      <c r="A54" s="8" t="s">
        <v>630</v>
      </c>
      <c r="B54" s="8" t="s">
        <v>631</v>
      </c>
      <c r="C54" s="8" t="s">
        <v>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632</v>
      </c>
    </row>
    <row r="3" customFormat="false" ht="15" hidden="false" customHeight="false" outlineLevel="0" collapsed="false">
      <c r="A3" s="7" t="s">
        <v>70</v>
      </c>
      <c r="B3" s="7" t="s">
        <v>633</v>
      </c>
    </row>
    <row r="4" customFormat="false" ht="15" hidden="false" customHeight="false" outlineLevel="0" collapsed="false">
      <c r="A4" s="14" t="s">
        <v>88</v>
      </c>
      <c r="B4" s="14" t="n">
        <f aca="false">COUNTIF(Catálogo!$C$2:$C$200,A4)</f>
        <v>7</v>
      </c>
    </row>
    <row r="5" customFormat="false" ht="15" hidden="false" customHeight="false" outlineLevel="0" collapsed="false">
      <c r="A5" s="14" t="s">
        <v>161</v>
      </c>
      <c r="B5" s="14" t="n">
        <f aca="false">COUNTIF(Catálogo!$C$2:$C$200,A5)</f>
        <v>6</v>
      </c>
    </row>
    <row r="6" customFormat="false" ht="15" hidden="false" customHeight="false" outlineLevel="0" collapsed="false">
      <c r="A6" s="14" t="s">
        <v>126</v>
      </c>
      <c r="B6" s="14" t="n">
        <f aca="false">COUNTIF(Catálogo!$C$2:$C$200,A6)</f>
        <v>2</v>
      </c>
    </row>
    <row r="7" customFormat="false" ht="15" hidden="false" customHeight="false" outlineLevel="0" collapsed="false">
      <c r="A7" s="14" t="s">
        <v>106</v>
      </c>
      <c r="B7" s="14" t="n">
        <f aca="false">COUNTIF(Catálogo!$C$2:$C$200,A7)</f>
        <v>7</v>
      </c>
    </row>
    <row r="8" customFormat="false" ht="15" hidden="false" customHeight="false" outlineLevel="0" collapsed="false">
      <c r="A8" s="14" t="s">
        <v>270</v>
      </c>
      <c r="B8" s="14" t="n">
        <f aca="false">COUNTIF(Catálogo!$C$2:$C$200,A8)</f>
        <v>10</v>
      </c>
    </row>
    <row r="9" customFormat="false" ht="15" hidden="false" customHeight="false" outlineLevel="0" collapsed="false">
      <c r="A9" s="14" t="s">
        <v>139</v>
      </c>
      <c r="B9" s="14" t="n">
        <f aca="false">COUNTIF(Catálogo!$C$2:$C$200,A9)</f>
        <v>7</v>
      </c>
    </row>
    <row r="11" customFormat="false" ht="15" hidden="false" customHeight="false" outlineLevel="0" collapsed="false">
      <c r="A11" s="7" t="s">
        <v>11</v>
      </c>
      <c r="B11" s="7" t="s">
        <v>633</v>
      </c>
    </row>
    <row r="12" customFormat="false" ht="15" hidden="false" customHeight="false" outlineLevel="0" collapsed="false">
      <c r="A12" s="14" t="s">
        <v>100</v>
      </c>
      <c r="B12" s="14" t="n">
        <f aca="false">COUNTIF(Catálogo!$P$2:$P$200,A12)</f>
        <v>8</v>
      </c>
    </row>
    <row r="13" customFormat="false" ht="15" hidden="false" customHeight="false" outlineLevel="0" collapsed="false">
      <c r="A13" s="14" t="s">
        <v>122</v>
      </c>
      <c r="B13" s="14" t="n">
        <f aca="false">COUNTIF(Catálogo!$P$2:$P$200,A13)</f>
        <v>14</v>
      </c>
    </row>
    <row r="14" customFormat="false" ht="15" hidden="false" customHeight="false" outlineLevel="0" collapsed="false">
      <c r="A14" s="14" t="s">
        <v>168</v>
      </c>
      <c r="B14" s="14" t="n">
        <f aca="false">COUNTIF(Catálogo!$P$2:$P$200,A14)</f>
        <v>17</v>
      </c>
    </row>
    <row r="16" customFormat="false" ht="15" hidden="false" customHeight="false" outlineLevel="0" collapsed="false">
      <c r="A16" s="7" t="s">
        <v>634</v>
      </c>
      <c r="B16" s="7" t="s">
        <v>633</v>
      </c>
    </row>
    <row r="17" customFormat="false" ht="15" hidden="false" customHeight="false" outlineLevel="0" collapsed="false">
      <c r="A17" s="14" t="s">
        <v>89</v>
      </c>
      <c r="B17" s="14" t="n">
        <f aca="false">COUNTIF(Catálogo!$E$2:$E$200,A17)</f>
        <v>24</v>
      </c>
    </row>
    <row r="18" customFormat="false" ht="15" hidden="false" customHeight="false" outlineLevel="0" collapsed="false">
      <c r="A18" s="14" t="s">
        <v>188</v>
      </c>
      <c r="B18" s="14" t="n">
        <f aca="false">COUNTIF(Catálogo!$E$2:$E$200,A18)</f>
        <v>8</v>
      </c>
    </row>
    <row r="19" customFormat="false" ht="15" hidden="false" customHeight="false" outlineLevel="0" collapsed="false">
      <c r="A19" s="14" t="s">
        <v>127</v>
      </c>
      <c r="B19" s="14" t="n">
        <f aca="false">COUNTIF(Catálogo!$E$2:$E$200,A19)</f>
        <v>7</v>
      </c>
    </row>
    <row r="21" customFormat="false" ht="15" hidden="false" customHeight="false" outlineLevel="0" collapsed="false">
      <c r="A21" s="7" t="s">
        <v>635</v>
      </c>
      <c r="B21" s="7" t="s">
        <v>633</v>
      </c>
    </row>
    <row r="22" customFormat="false" ht="15" hidden="false" customHeight="false" outlineLevel="0" collapsed="false">
      <c r="A22" s="14" t="s">
        <v>92</v>
      </c>
      <c r="B22" s="14" t="n">
        <f aca="false">COUNTIF(Catálogo!$H$2:$H$200,A22)</f>
        <v>28</v>
      </c>
    </row>
    <row r="23" customFormat="false" ht="15" hidden="false" customHeight="false" outlineLevel="0" collapsed="false">
      <c r="A23" s="14" t="s">
        <v>191</v>
      </c>
      <c r="B23" s="14" t="n">
        <f aca="false">COUNTIF(Catálogo!$H$2:$H$200,A23)</f>
        <v>5</v>
      </c>
    </row>
    <row r="24" customFormat="false" ht="15" hidden="false" customHeight="false" outlineLevel="0" collapsed="false">
      <c r="A24" s="14" t="s">
        <v>349</v>
      </c>
      <c r="B24" s="14" t="n">
        <f aca="false">COUNTIF(Catálogo!$H$2:$H$200,A24)</f>
        <v>3</v>
      </c>
    </row>
    <row r="25" customFormat="false" ht="15" hidden="false" customHeight="false" outlineLevel="0" collapsed="false">
      <c r="A25" s="14" t="s">
        <v>364</v>
      </c>
      <c r="B25" s="14" t="n">
        <f aca="false">COUNTIF(Catálogo!$H$2:$H$200,A25)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80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636</v>
      </c>
    </row>
    <row r="3" customFormat="false" ht="15" hidden="false" customHeight="false" outlineLevel="0" collapsed="false">
      <c r="A3" s="7" t="s">
        <v>85</v>
      </c>
      <c r="B3" s="7" t="s">
        <v>637</v>
      </c>
      <c r="C3" s="7" t="s">
        <v>638</v>
      </c>
      <c r="D3" s="7" t="s">
        <v>639</v>
      </c>
      <c r="E3" s="7" t="s">
        <v>640</v>
      </c>
    </row>
    <row r="4" customFormat="false" ht="23.85" hidden="false" customHeight="false" outlineLevel="0" collapsed="false">
      <c r="A4" s="8" t="s">
        <v>103</v>
      </c>
      <c r="B4" s="8" t="s">
        <v>641</v>
      </c>
      <c r="C4" s="8"/>
      <c r="D4" s="8" t="s">
        <v>642</v>
      </c>
      <c r="E4" s="8" t="s">
        <v>643</v>
      </c>
    </row>
    <row r="5" customFormat="false" ht="35.05" hidden="false" customHeight="false" outlineLevel="0" collapsed="false">
      <c r="A5" s="8" t="s">
        <v>644</v>
      </c>
      <c r="B5" s="8" t="s">
        <v>641</v>
      </c>
      <c r="C5" s="8"/>
      <c r="D5" s="8" t="s">
        <v>645</v>
      </c>
      <c r="E5" s="8" t="s">
        <v>646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2026-10-07T19:35:00Z</dcterms:created>
  <dc:creator>openpyxl</dc:creator>
  <dc:description/>
  <dc:language>en-US</dc:language>
  <cp:lastModifiedBy/>
  <dcterms:modified xsi:type="dcterms:W3CDTF">2026-10-07T19:35:00Z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